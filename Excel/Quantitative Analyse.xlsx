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E56C76D2-B746-5A4B-970B-AE29C2E1C97D}" xr6:coauthVersionLast="47" xr6:coauthVersionMax="47" xr10:uidLastSave="{00000000-0000-0000-0000-000000000000}"/>
  <bookViews>
    <workbookView xWindow="0" yWindow="0" windowWidth="28800" windowHeight="18000" activeTab="5" xr2:uid="{00000000-000D-0000-FFFF-FFFF00000000}"/>
  </bookViews>
  <sheets>
    <sheet name="Harmonisierung" sheetId="1" r:id="rId1"/>
    <sheet name="Jahr" sheetId="8" r:id="rId2"/>
    <sheet name="Use cases" sheetId="5" r:id="rId3"/>
    <sheet name="Lernparadigmen" sheetId="10" r:id="rId4"/>
    <sheet name="KI-Ansatz" sheetId="2" r:id="rId5"/>
    <sheet name="Zeitplan" sheetId="11" r:id="rId6"/>
    <sheet name="Kreuztabelle" sheetId="6" r:id="rId7"/>
    <sheet name="Keywords" sheetId="9" r:id="rId8"/>
  </sheets>
  <definedNames>
    <definedName name="_xlnm.Print_Area" localSheetId="5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<sst xmlns="http://schemas.openxmlformats.org/spreadsheetml/2006/main" count="218" uniqueCount="169">
  <si>
    <t>5x</t>
  </si>
  <si>
    <t>Microservices / Serverless</t>
  </si>
  <si>
    <t>7x</t>
  </si>
  <si>
    <t>10x</t>
  </si>
  <si>
    <t>CI/CD / Testing</t>
  </si>
  <si>
    <t>Monitoring / AIOps</t>
  </si>
  <si>
    <t>Kubernetes / Orchestrierung</t>
  </si>
  <si>
    <t>Kubernetes, K8s, Containerization</t>
  </si>
  <si>
    <t>Belegte Paper</t>
  </si>
  <si>
    <t>Häufigkeit</t>
  </si>
  <si>
    <t>Domäne</t>
  </si>
  <si>
    <t>MLOps Tools (Spezifisch)</t>
  </si>
  <si>
    <t>Kubeflow, MLFlow, TFX, Ray, Tekton, MLRun</t>
  </si>
  <si>
    <t>Security / DevSecOps</t>
  </si>
  <si>
    <t>Security Scans, Threat Detection, Intrusion Detection, Cybersecurity Risk Modeling</t>
  </si>
  <si>
    <t>Observability, Prometheus, Grafana, AWS CloudWatch, AIOps</t>
  </si>
  <si>
    <t>Jahr</t>
  </si>
  <si>
    <t>Resource Allocation / Scaling</t>
  </si>
  <si>
    <t>Resource Allocation, Dynamic Ressourcenzuweisung, Auto-Scaling</t>
  </si>
  <si>
    <t>8x</t>
  </si>
  <si>
    <t>CI/CD, Build Optimization, Automated Testing, Automated Rollbacks</t>
  </si>
  <si>
    <t>Methode/Algorithmus</t>
  </si>
  <si>
    <t>Generative AI (GenAI)</t>
  </si>
  <si>
    <t>Generative AI, LLMs, ChatGPT, OpenAI CodeX, GitHub Copilot, RAG</t>
  </si>
  <si>
    <t>Deep Learning (DL)</t>
  </si>
  <si>
    <t>Predictive Modeling / Analytics</t>
  </si>
  <si>
    <t>Predictive AI, Predictive Analytics, Predictive Modeling</t>
  </si>
  <si>
    <t>Reinforcement Learning (RL)</t>
  </si>
  <si>
    <t>Reinforcement Modeling, RL, DQN</t>
  </si>
  <si>
    <t>Unsupervised Learning (UL)</t>
  </si>
  <si>
    <t>CNN, RNN, LSTM, BERT, Neural Networks, Deep Learning</t>
  </si>
  <si>
    <t>Supervised Learning (SL)</t>
  </si>
  <si>
    <t>Tree/Ensemble Methods (inkl. RF, DT, XGBoost)</t>
  </si>
  <si>
    <t>Random Forest, RF, Decision Tree, DT, XGBoost, Gradient Boosting</t>
  </si>
  <si>
    <t>Kubernetes / Orchestrierung (inkl. Skalierung)</t>
  </si>
  <si>
    <t>KI-Technologie / Lernparadigma</t>
  </si>
  <si>
    <t>Use Case</t>
  </si>
  <si>
    <t>Lernparadigma</t>
  </si>
  <si>
    <t>Harmonisierte Kategorie</t>
  </si>
  <si>
    <t xml:space="preserve">Ursprüngliche Begriffe </t>
  </si>
  <si>
    <t>Explizit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</si>
  <si>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</si>
  <si>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</si>
  <si>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</si>
  <si>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</si>
  <si>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</si>
  <si>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</si>
  <si>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</si>
  <si>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</si>
  <si>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</si>
  <si>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</si>
  <si>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</si>
  <si>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</si>
  <si>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</si>
  <si>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</si>
  <si>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</si>
  <si>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</si>
  <si>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</si>
  <si>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</si>
  <si>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</si>
  <si>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</si>
  <si>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</si>
  <si>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</si>
  <si>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</si>
  <si>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</si>
  <si>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</si>
  <si>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</si>
  <si>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</si>
  <si>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</si>
  <si>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</si>
  <si>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 xml:space="preserve">P1, P3, P4, P10, P11, P12, P13, P14, P16, P17 </t>
  </si>
  <si>
    <t>Clustering</t>
  </si>
  <si>
    <t>P12</t>
  </si>
  <si>
    <t>Deep Learning / Neuronale Netze</t>
  </si>
  <si>
    <t>Ensemble &amp; Baum-basiert</t>
  </si>
  <si>
    <t>P1, P2, P3, P4, P5, P6, P7, P8, P10, P11, P12, P13, P14, P15, P16, P17, P19, P20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</si>
  <si>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</si>
  <si>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</si>
  <si>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</si>
  <si>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</si>
  <si>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</si>
  <si>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</si>
  <si>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</si>
  <si>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</si>
  <si>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</si>
  <si>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21/21</t>
  </si>
  <si>
    <t>19/21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</si>
  <si>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</si>
  <si>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</si>
  <si>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</si>
  <si>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</si>
  <si>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</si>
  <si>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</si>
  <si>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</si>
  <si>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</si>
  <si>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</si>
  <si>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</si>
  <si>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</si>
  <si>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</si>
  <si>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</si>
  <si>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</si>
  <si>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</si>
  <si>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Implizit</t>
  </si>
  <si>
    <t xml:space="preserve">Integrationskomplexität </t>
  </si>
  <si>
    <t>Explizit Paper</t>
  </si>
  <si>
    <t>Implizit Paper</t>
  </si>
  <si>
    <t>P3, P12, P14</t>
  </si>
  <si>
    <t>P3, P4, P6, P11 P12, P14, P18</t>
  </si>
  <si>
    <t>P1, P2, P5,P8, P9, P13, P15,  P16, P17, P19, P20, P21</t>
  </si>
  <si>
    <t>P2, P6, P8, P11, P15, P17, P20, P21</t>
  </si>
  <si>
    <t>Klassische Klassifikation/ Regression</t>
  </si>
  <si>
    <t>P3, P4, P6, P7, P8, P9, P10, P14, P19, P20</t>
  </si>
  <si>
    <t>P3, P4, P6, P8, P12, P14, P20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</si>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</sst>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2" fillId="0" borderId="3" xfId="0" applyFont="1" applyBorder="1" applyAlignment="1">
      <alignment vertical="top" wrapText="1"/>
    </xf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3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der Anwendungsbereiche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 cases'!$E$2:$E$6</c:f>
              <c:strCache>
                <c:ptCount val="5"/>
                <c:pt idx="0">
                  <c:v>CI/CD Automatisierung &amp; Pipeline-Optimierung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Automatische Fehlererkennung &amp; Systemstabilität</c:v>
                </c:pt>
                <c:pt idx="4">
                  <c:v>Verteilte oder leichtgewichtige Umgebungen (Serveless Deployment) </c:v>
                </c:pt>
              </c:strCache>
            </c:strRef>
          </c:cat>
          <c:val>
            <c:numRef>
              <c:f>'Use cases'!$F$2:$F$6</c:f>
              <c:numCache>
                <c:formatCode>General</c:formatCode>
                <c:ptCount val="5"/>
                <c:pt idx="0">
                  <c:v>8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4-40FB-9012-04FECCE5B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36772352"/>
        <c:axId val="1636772832"/>
      </c:barChart>
      <c:catAx>
        <c:axId val="163677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36772832"/>
        <c:crosses val="autoZero"/>
        <c:auto val="1"/>
        <c:lblAlgn val="ctr"/>
        <c:lblOffset val="100"/>
        <c:noMultiLvlLbl val="0"/>
      </c:catAx>
      <c:valAx>
        <c:axId val="1636772832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677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 &amp; Security </c:v>
                </c:pt>
                <c:pt idx="3">
                  <c:v>Integrationskomplexität </c:v>
                </c:pt>
                <c:pt idx="4">
                  <c:v>Datenmanagement &amp; Qualität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1</c:v>
                </c:pt>
                <c:pt idx="1">
                  <c:v>0.90476190476190477</c:v>
                </c:pt>
                <c:pt idx="2">
                  <c:v>0.90476190476190477</c:v>
                </c:pt>
                <c:pt idx="3">
                  <c:v>0.7142857142857143</c:v>
                </c:pt>
                <c:pt idx="4">
                  <c:v>0.95238095238095233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7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12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'KI-Ansatz'!$B$1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'KI-Ansatz'!$A$2:$A$5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'KI-Ansatz'!$B$2:$B$5</c:f>
              <c:numCache>
                <c:formatCode>0%</c:formatCode>
                <c:ptCount val="4"/>
                <c:pt idx="0">
                  <c:v>0.8571428571428571</c:v>
                </c:pt>
                <c:pt idx="1">
                  <c:v>0.33333333333333331</c:v>
                </c:pt>
                <c:pt idx="2">
                  <c:v>0.47619047619047616</c:v>
                </c:pt>
                <c:pt idx="3">
                  <c:v>0.38095238095238093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351044</xdr:colOff>
      <xdr:row>0</xdr:row>
      <xdr:rowOff>63225</xdr:rowOff>
    </xdr:from>
    <xdr:to>
      <xdr:col>12</xdr:col>
      <xdr:colOff>351044</xdr:colOff>
      <xdr:row>7</xdr:row>
      <xdr:rowOff>34926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1811DE-865E-6819-3119-17BB391F0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317914</xdr:colOff>
      <xdr:row>8</xdr:row>
      <xdr:rowOff>124377</xdr:rowOff>
    </xdr:from>
    <xdr:to>
      <xdr:col>12</xdr:col>
      <xdr:colOff>311564</xdr:colOff>
      <xdr:row>19</xdr:row>
      <xdr:rowOff>104360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3</xdr:col>
      <xdr:colOff>2132012</xdr:colOff>
      <xdr:row>21</xdr:row>
      <xdr:rowOff>46037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801158</xdr:colOff>
      <xdr:row>1</xdr:row>
      <xdr:rowOff>303741</xdr:rowOff>
    </xdr:from>
    <xdr:to>
      <xdr:col>5</xdr:col>
      <xdr:colOff>222250</xdr:colOff>
      <xdr:row>16</xdr:row>
      <xdr:rowOff>157691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2" headerRowBorderDxfId="31" tableBorderDxfId="30" totalsRowBorderDxfId="29">
  <autoFilter ref="A1:E6" xr:uid="{B9CC33F1-D254-49F3-8557-E5C7872583BF}"/>
  <tableColumns count="5">
    <tableColumn id="1" xr3:uid="{620D4100-10BB-4135-B53B-6B5034AFE668}" name="Jahr" dataDxfId="28"/>
    <tableColumn id="2" xr3:uid="{D134C25B-4B6A-4AAB-AF1C-8A8225861C02}" name="Journal" dataDxfId="27"/>
    <tableColumn id="3" xr3:uid="{10A7D4DA-004F-4919-AD06-7AB2A5AA9262}" name="Conference" dataDxfId="26"/>
    <tableColumn id="4" xr3:uid="{EA1054E4-076B-47F9-9C72-0D8023C3392B}" name="Arxiv" dataDxfId="25"/>
    <tableColumn id="5" xr3:uid="{DDFEFE86-2761-4404-8068-121B7CDC91D0}" name="Whitepaper" dataDxfId="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8AE58D-B189-4269-A605-97111FBD9467}" name="Tabelle2" displayName="Tabelle2" ref="E1:F6" totalsRowShown="0" headerRowDxfId="23" headerRowBorderDxfId="22" tableBorderDxfId="21" totalsRowBorderDxfId="20">
  <autoFilter ref="E1:F6" xr:uid="{278AE58D-B189-4269-A605-97111FBD9467}"/>
  <tableColumns count="2">
    <tableColumn id="1" xr3:uid="{A5ECC236-9CC3-40B6-9A99-74F580ABEC55}" name="Use Case" dataDxfId="19"/>
    <tableColumn id="2" xr3:uid="{BA5D8B57-4B50-440C-9933-C8305A23CF91}" name="Häufigkeit" dataDxfId="1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9BB0B9-4763-4189-A791-B09190FEC97A}" name="Tabelle3" displayName="Tabelle3" ref="E10:F15" totalsRowShown="0" headerRowDxfId="17" headerRowBorderDxfId="16" tableBorderDxfId="15" totalsRowBorderDxfId="14">
  <autoFilter ref="E10:F15" xr:uid="{1B9BB0B9-4763-4189-A791-B09190FEC97A}"/>
  <tableColumns count="2">
    <tableColumn id="1" xr3:uid="{8B774025-867F-4AA1-9B98-EF89FAACDAE3}" name="Herausforderung" dataDxfId="13"/>
    <tableColumn id="2" xr3:uid="{DACDBAA5-4CAF-441E-81BC-77C2C782EBEB}" name="Häufigkeit" dataDxfId="12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C4" totalsRowShown="0" headerRowBorderDxfId="11" tableBorderDxfId="10" totalsRowBorderDxfId="9">
  <autoFilter ref="A1:C4" xr:uid="{A62E4DE7-B15D-4164-9E48-FA7C94CE72C0}"/>
  <tableColumns count="3">
    <tableColumn id="1" xr3:uid="{F14AF351-14AF-44A5-8947-E212E1F47F29}" name="Lernparadigma" dataDxfId="8"/>
    <tableColumn id="2" xr3:uid="{3A7749C9-6DF4-43D7-B809-334A1DA17A06}" name="Explizit" dataDxfId="7"/>
    <tableColumn id="3" xr3:uid="{FD12B577-2D81-43CF-8D4F-FB76FE8141A1}" name="Implizit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42C74E-4190-462E-BAF0-66E01C41D1AC}" name="Tabelle5" displayName="Tabelle5" ref="A1:B5" totalsRowShown="0" headerRowDxfId="5" headerRowBorderDxfId="4" tableBorderDxfId="3" totalsRowBorderDxfId="2">
  <autoFilter ref="A1:B5" xr:uid="{A642C74E-4190-462E-BAF0-66E01C41D1AC}"/>
  <tableColumns count="2">
    <tableColumn id="1" xr3:uid="{22D3E909-73E1-40FC-A71B-150952C70172}" name="Methode/Algorithmus" dataDxfId="1"/>
    <tableColumn id="2" xr3:uid="{8DDB1D05-7A6A-4DE9-A063-97C2044254E3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B18" sqref="B18"/>
    </sheetView>
  </sheetViews>
  <sheetFormatPr baseColWidth="10" defaultColWidth="8.6640625" defaultRowHeight="15" x14ac:dyDescent="0.2"/>
  <cols>
    <col min="1" max="1" width="52.33203125" customWidth="1"/>
    <col min="2" max="2" width="56.1640625" customWidth="1"/>
    <col min="3" max="27" width="29.6640625" customWidth="1"/>
  </cols>
  <sheetData>
    <row r="1" spans="1:2" x14ac:dyDescent="0.2">
      <c r="A1" s="6" t="s">
        <v>39</v>
      </c>
      <c r="B1" s="6" t="s">
        <v>38</v>
      </c>
    </row>
    <row r="2" spans="1:2" ht="16" x14ac:dyDescent="0.2">
      <c r="A2" s="1" t="s">
        <v>33</v>
      </c>
      <c r="B2" s="1" t="s">
        <v>32</v>
      </c>
    </row>
    <row r="3" spans="1:2" ht="16" x14ac:dyDescent="0.2">
      <c r="A3" s="1" t="s">
        <v>30</v>
      </c>
      <c r="B3" s="1" t="s">
        <v>24</v>
      </c>
    </row>
    <row r="4" spans="1:2" ht="16" x14ac:dyDescent="0.2">
      <c r="A4" s="1" t="s">
        <v>28</v>
      </c>
      <c r="B4" s="1" t="s">
        <v>27</v>
      </c>
    </row>
    <row r="5" spans="1:2" ht="16" x14ac:dyDescent="0.2">
      <c r="A5" s="1" t="s">
        <v>26</v>
      </c>
      <c r="B5" s="1" t="s">
        <v>25</v>
      </c>
    </row>
    <row r="6" spans="1:2" ht="16" x14ac:dyDescent="0.2">
      <c r="A6" s="1" t="s">
        <v>23</v>
      </c>
      <c r="B6" s="1" t="s">
        <v>22</v>
      </c>
    </row>
    <row r="7" spans="1:2" ht="32" x14ac:dyDescent="0.2">
      <c r="A7" s="1" t="s">
        <v>20</v>
      </c>
      <c r="B7" s="1" t="s">
        <v>4</v>
      </c>
    </row>
    <row r="8" spans="1:2" ht="16" x14ac:dyDescent="0.2">
      <c r="A8" s="1" t="s">
        <v>18</v>
      </c>
      <c r="B8" s="1" t="s">
        <v>17</v>
      </c>
    </row>
    <row r="9" spans="1:2" ht="16" x14ac:dyDescent="0.2">
      <c r="A9" s="1" t="s">
        <v>15</v>
      </c>
      <c r="B9" s="1" t="s">
        <v>5</v>
      </c>
    </row>
    <row r="10" spans="1:2" ht="32" x14ac:dyDescent="0.2">
      <c r="A10" s="1" t="s">
        <v>14</v>
      </c>
      <c r="B10" s="1" t="s">
        <v>13</v>
      </c>
    </row>
    <row r="11" spans="1:2" ht="16" x14ac:dyDescent="0.2">
      <c r="A11" s="1" t="s">
        <v>12</v>
      </c>
      <c r="B11" s="1" t="s">
        <v>11</v>
      </c>
    </row>
    <row r="12" spans="1:2" ht="16" x14ac:dyDescent="0.2">
      <c r="A12" s="3" t="s">
        <v>7</v>
      </c>
      <c r="B12" s="3" t="s">
        <v>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sqref="A1:E6"/>
    </sheetView>
  </sheetViews>
  <sheetFormatPr baseColWidth="10" defaultRowHeight="15" x14ac:dyDescent="0.2"/>
  <cols>
    <col min="1" max="1" width="16.83203125" customWidth="1"/>
    <col min="2" max="3" width="21.5" customWidth="1"/>
    <col min="4" max="4" width="25.1640625" customWidth="1"/>
    <col min="5" max="5" width="27.6640625" customWidth="1"/>
    <col min="6" max="7" width="21.5" customWidth="1"/>
    <col min="8" max="8" width="27.6640625" customWidth="1"/>
  </cols>
  <sheetData>
    <row r="1" spans="1:6" ht="16" x14ac:dyDescent="0.2">
      <c r="A1" s="22" t="s">
        <v>16</v>
      </c>
      <c r="B1" s="23" t="s">
        <v>91</v>
      </c>
      <c r="C1" s="23" t="s">
        <v>92</v>
      </c>
      <c r="D1" s="23" t="s">
        <v>93</v>
      </c>
      <c r="E1" s="24" t="s">
        <v>94</v>
      </c>
      <c r="F1" s="19"/>
    </row>
    <row r="2" spans="1:6" x14ac:dyDescent="0.2">
      <c r="A2" s="20">
        <v>2021</v>
      </c>
      <c r="B2" s="18">
        <v>2</v>
      </c>
      <c r="C2" s="18"/>
      <c r="D2" s="18"/>
      <c r="E2" s="21"/>
    </row>
    <row r="3" spans="1:6" x14ac:dyDescent="0.2">
      <c r="A3" s="20">
        <v>2022</v>
      </c>
      <c r="B3" s="18">
        <v>1</v>
      </c>
      <c r="C3" s="18"/>
      <c r="D3" s="16"/>
      <c r="E3" s="21"/>
    </row>
    <row r="4" spans="1:6" x14ac:dyDescent="0.2">
      <c r="A4" s="20">
        <v>2023</v>
      </c>
      <c r="B4" s="18">
        <v>2</v>
      </c>
      <c r="C4" s="18"/>
      <c r="D4" s="2"/>
      <c r="E4" s="21"/>
    </row>
    <row r="5" spans="1:6" x14ac:dyDescent="0.2">
      <c r="A5" s="20">
        <v>2024</v>
      </c>
      <c r="B5" s="18">
        <v>5</v>
      </c>
      <c r="C5" s="18">
        <v>1</v>
      </c>
      <c r="D5" s="2">
        <v>1</v>
      </c>
      <c r="E5" s="21">
        <v>1</v>
      </c>
    </row>
    <row r="6" spans="1:6" x14ac:dyDescent="0.2">
      <c r="A6" s="25">
        <v>2025</v>
      </c>
      <c r="B6" s="26">
        <v>6</v>
      </c>
      <c r="C6" s="26">
        <v>1</v>
      </c>
      <c r="D6" s="27">
        <v>1</v>
      </c>
      <c r="E6" s="28"/>
    </row>
    <row r="7" spans="1:6" x14ac:dyDescent="0.2">
      <c r="A7" s="17"/>
      <c r="B7" s="17"/>
      <c r="C7" s="17"/>
    </row>
    <row r="8" spans="1:6" x14ac:dyDescent="0.2">
      <c r="A8" s="17"/>
      <c r="B8" s="17"/>
      <c r="C8" s="17"/>
    </row>
    <row r="9" spans="1:6" x14ac:dyDescent="0.2">
      <c r="A9" s="17"/>
      <c r="B9" s="17"/>
      <c r="C9" s="17"/>
    </row>
    <row r="10" spans="1:6" x14ac:dyDescent="0.2">
      <c r="A10" s="17"/>
      <c r="B10" s="17"/>
      <c r="C10" s="17"/>
    </row>
    <row r="11" spans="1:6" x14ac:dyDescent="0.2">
      <c r="A11" s="17"/>
      <c r="B11" s="17"/>
      <c r="C11" s="17"/>
    </row>
    <row r="12" spans="1:6" x14ac:dyDescent="0.2">
      <c r="A12" s="17"/>
      <c r="B12" s="17"/>
      <c r="C12" s="17"/>
    </row>
    <row r="13" spans="1:6" x14ac:dyDescent="0.2">
      <c r="A13" s="17"/>
      <c r="B13" s="17"/>
      <c r="C13" s="17"/>
    </row>
    <row r="14" spans="1:6" x14ac:dyDescent="0.2">
      <c r="A14" s="17"/>
      <c r="B14" s="17"/>
      <c r="C14" s="17"/>
    </row>
    <row r="15" spans="1:6" x14ac:dyDescent="0.2">
      <c r="A15" s="17"/>
      <c r="B15" s="17"/>
      <c r="C15" s="17"/>
    </row>
    <row r="16" spans="1:6" x14ac:dyDescent="0.2">
      <c r="A16" s="17"/>
      <c r="B16" s="17"/>
      <c r="C16" s="17"/>
    </row>
    <row r="17" spans="1:3" x14ac:dyDescent="0.2">
      <c r="A17" s="17"/>
      <c r="B17" s="17"/>
      <c r="C17" s="17"/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opLeftCell="D1" zoomScale="85" zoomScaleNormal="85" workbookViewId="0">
      <selection activeCell="N5" sqref="N5"/>
    </sheetView>
  </sheetViews>
  <sheetFormatPr baseColWidth="10" defaultRowHeight="15" x14ac:dyDescent="0.2"/>
  <cols>
    <col min="1" max="1" width="31.33203125" customWidth="1"/>
    <col min="2" max="2" width="17.5" customWidth="1"/>
    <col min="3" max="3" width="37.83203125" customWidth="1"/>
    <col min="5" max="6" width="23.1640625" style="30" customWidth="1"/>
  </cols>
  <sheetData>
    <row r="1" spans="1:6" ht="16" x14ac:dyDescent="0.2">
      <c r="A1" s="11" t="s">
        <v>36</v>
      </c>
      <c r="B1" s="11" t="s">
        <v>9</v>
      </c>
      <c r="C1" s="11" t="s">
        <v>8</v>
      </c>
      <c r="E1" s="33" t="s">
        <v>36</v>
      </c>
      <c r="F1" s="34" t="s">
        <v>9</v>
      </c>
    </row>
    <row r="2" spans="1:6" ht="32" x14ac:dyDescent="0.2">
      <c r="A2" s="12" t="s">
        <v>41</v>
      </c>
      <c r="B2" s="13" t="s">
        <v>19</v>
      </c>
      <c r="C2" s="12" t="s">
        <v>53</v>
      </c>
      <c r="E2" s="31" t="s">
        <v>41</v>
      </c>
      <c r="F2" s="32">
        <v>8</v>
      </c>
    </row>
    <row r="3" spans="1:6" ht="32" x14ac:dyDescent="0.2">
      <c r="A3" s="12" t="s">
        <v>42</v>
      </c>
      <c r="B3" s="13" t="s">
        <v>0</v>
      </c>
      <c r="C3" s="12" t="s">
        <v>57</v>
      </c>
      <c r="E3" s="31" t="s">
        <v>42</v>
      </c>
      <c r="F3" s="32">
        <v>5</v>
      </c>
    </row>
    <row r="4" spans="1:6" ht="32" x14ac:dyDescent="0.2">
      <c r="A4" s="12" t="s">
        <v>43</v>
      </c>
      <c r="B4" s="13" t="s">
        <v>50</v>
      </c>
      <c r="C4" s="12" t="s">
        <v>54</v>
      </c>
      <c r="E4" s="31" t="s">
        <v>43</v>
      </c>
      <c r="F4" s="32">
        <v>3</v>
      </c>
    </row>
    <row r="5" spans="1:6" ht="48" x14ac:dyDescent="0.2">
      <c r="A5" s="12" t="s">
        <v>99</v>
      </c>
      <c r="B5" s="13" t="s">
        <v>49</v>
      </c>
      <c r="C5" s="12" t="s">
        <v>55</v>
      </c>
      <c r="E5" s="31" t="s">
        <v>99</v>
      </c>
      <c r="F5" s="32">
        <v>2</v>
      </c>
    </row>
    <row r="6" spans="1:6" ht="64" x14ac:dyDescent="0.2">
      <c r="A6" s="12" t="s">
        <v>100</v>
      </c>
      <c r="B6" s="13" t="s">
        <v>49</v>
      </c>
      <c r="C6" s="12" t="s">
        <v>56</v>
      </c>
      <c r="E6" s="35" t="s">
        <v>101</v>
      </c>
      <c r="F6" s="36">
        <v>2</v>
      </c>
    </row>
    <row r="10" spans="1:6" x14ac:dyDescent="0.2">
      <c r="A10" s="5" t="s">
        <v>77</v>
      </c>
      <c r="B10" s="5" t="s">
        <v>9</v>
      </c>
      <c r="C10" s="5" t="s">
        <v>79</v>
      </c>
      <c r="E10" s="38" t="s">
        <v>77</v>
      </c>
      <c r="F10" s="39" t="s">
        <v>9</v>
      </c>
    </row>
    <row r="11" spans="1:6" ht="32" x14ac:dyDescent="0.2">
      <c r="A11" s="1" t="s">
        <v>80</v>
      </c>
      <c r="B11" s="2" t="s">
        <v>85</v>
      </c>
      <c r="C11" s="2"/>
      <c r="E11" s="37" t="s">
        <v>80</v>
      </c>
      <c r="F11" s="41">
        <f xml:space="preserve"> 21/21</f>
        <v>1</v>
      </c>
    </row>
    <row r="12" spans="1:6" ht="32" x14ac:dyDescent="0.2">
      <c r="A12" s="1" t="s">
        <v>81</v>
      </c>
      <c r="B12" s="2" t="s">
        <v>86</v>
      </c>
      <c r="C12" s="2" t="s">
        <v>84</v>
      </c>
      <c r="E12" s="37" t="s">
        <v>81</v>
      </c>
      <c r="F12" s="41">
        <f xml:space="preserve"> 19/21</f>
        <v>0.90476190476190477</v>
      </c>
    </row>
    <row r="13" spans="1:6" ht="16" x14ac:dyDescent="0.2">
      <c r="A13" s="1" t="s">
        <v>82</v>
      </c>
      <c r="B13" s="2" t="s">
        <v>86</v>
      </c>
      <c r="C13" s="2" t="s">
        <v>87</v>
      </c>
      <c r="E13" s="37" t="s">
        <v>82</v>
      </c>
      <c r="F13" s="41">
        <f xml:space="preserve"> 19/21</f>
        <v>0.90476190476190477</v>
      </c>
    </row>
    <row r="14" spans="1:6" ht="32" x14ac:dyDescent="0.2">
      <c r="A14" s="1" t="s">
        <v>78</v>
      </c>
      <c r="B14" s="2" t="s">
        <v>90</v>
      </c>
      <c r="C14" s="2" t="s">
        <v>88</v>
      </c>
      <c r="E14" s="37" t="s">
        <v>103</v>
      </c>
      <c r="F14" s="41">
        <f xml:space="preserve"> 15/21</f>
        <v>0.7142857142857143</v>
      </c>
    </row>
    <row r="15" spans="1:6" ht="32" x14ac:dyDescent="0.2">
      <c r="A15" s="1" t="s">
        <v>83</v>
      </c>
      <c r="B15" s="2" t="s">
        <v>89</v>
      </c>
      <c r="C15" s="2" t="s">
        <v>72</v>
      </c>
      <c r="E15" s="40" t="s">
        <v>83</v>
      </c>
      <c r="F15" s="42">
        <f xml:space="preserve"> 20/21</f>
        <v>0.95238095238095233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E4"/>
  <sheetViews>
    <sheetView workbookViewId="0">
      <selection activeCell="F6" sqref="F6"/>
    </sheetView>
  </sheetViews>
  <sheetFormatPr baseColWidth="10" defaultRowHeight="15" x14ac:dyDescent="0.2"/>
  <cols>
    <col min="1" max="3" width="17.83203125" customWidth="1"/>
    <col min="4" max="5" width="32.6640625" customWidth="1"/>
  </cols>
  <sheetData>
    <row r="1" spans="1:5" ht="16" x14ac:dyDescent="0.2">
      <c r="A1" s="44" t="s">
        <v>37</v>
      </c>
      <c r="B1" s="45" t="s">
        <v>40</v>
      </c>
      <c r="C1" s="46" t="s">
        <v>102</v>
      </c>
      <c r="D1" s="6" t="s">
        <v>104</v>
      </c>
      <c r="E1" s="6" t="s">
        <v>105</v>
      </c>
    </row>
    <row r="2" spans="1:5" ht="32" x14ac:dyDescent="0.2">
      <c r="A2" s="37" t="s">
        <v>31</v>
      </c>
      <c r="B2" s="1">
        <v>7</v>
      </c>
      <c r="C2" s="43">
        <v>12</v>
      </c>
      <c r="D2" s="1" t="s">
        <v>107</v>
      </c>
      <c r="E2" s="1" t="s">
        <v>108</v>
      </c>
    </row>
    <row r="3" spans="1:5" ht="32" x14ac:dyDescent="0.2">
      <c r="A3" s="37" t="s">
        <v>29</v>
      </c>
      <c r="B3" s="1">
        <v>3</v>
      </c>
      <c r="C3" s="43">
        <v>8</v>
      </c>
      <c r="D3" s="1" t="s">
        <v>106</v>
      </c>
      <c r="E3" s="1" t="s">
        <v>109</v>
      </c>
    </row>
    <row r="4" spans="1:5" ht="32" x14ac:dyDescent="0.2">
      <c r="A4" s="40" t="s">
        <v>27</v>
      </c>
      <c r="B4" s="47">
        <v>10</v>
      </c>
      <c r="C4" s="48">
        <v>0</v>
      </c>
      <c r="D4" s="1" t="s">
        <v>70</v>
      </c>
      <c r="E4" s="1"/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24"/>
  <sheetViews>
    <sheetView zoomScale="90" zoomScaleNormal="90" workbookViewId="0">
      <selection activeCell="D21" sqref="D21"/>
    </sheetView>
  </sheetViews>
  <sheetFormatPr baseColWidth="10" defaultRowHeight="15" x14ac:dyDescent="0.2"/>
  <cols>
    <col min="1" max="2" width="32.1640625" customWidth="1"/>
    <col min="3" max="3" width="34.83203125" customWidth="1"/>
    <col min="4" max="4" width="47.6640625" customWidth="1"/>
    <col min="5" max="6" width="26.1640625" customWidth="1"/>
  </cols>
  <sheetData>
    <row r="1" spans="1:3" x14ac:dyDescent="0.2">
      <c r="A1" s="38" t="s">
        <v>21</v>
      </c>
      <c r="B1" s="39" t="s">
        <v>9</v>
      </c>
      <c r="C1" s="5" t="s">
        <v>8</v>
      </c>
    </row>
    <row r="2" spans="1:3" ht="32" x14ac:dyDescent="0.2">
      <c r="A2" s="37" t="s">
        <v>73</v>
      </c>
      <c r="B2" s="51">
        <f xml:space="preserve"> 18/21</f>
        <v>0.8571428571428571</v>
      </c>
      <c r="C2" s="1" t="s">
        <v>75</v>
      </c>
    </row>
    <row r="3" spans="1:3" ht="16" x14ac:dyDescent="0.2">
      <c r="A3" s="37" t="s">
        <v>74</v>
      </c>
      <c r="B3" s="51">
        <f>7/21</f>
        <v>0.33333333333333331</v>
      </c>
      <c r="C3" s="1" t="s">
        <v>76</v>
      </c>
    </row>
    <row r="4" spans="1:3" ht="16" x14ac:dyDescent="0.2">
      <c r="A4" s="37" t="s">
        <v>110</v>
      </c>
      <c r="B4" s="51">
        <f>10/21</f>
        <v>0.47619047619047616</v>
      </c>
      <c r="C4" s="1" t="s">
        <v>111</v>
      </c>
    </row>
    <row r="5" spans="1:3" ht="16" x14ac:dyDescent="0.2">
      <c r="A5" s="40" t="s">
        <v>71</v>
      </c>
      <c r="B5" s="52">
        <f>8/21</f>
        <v>0.38095238095238093</v>
      </c>
      <c r="C5" s="1" t="s">
        <v>112</v>
      </c>
    </row>
    <row r="8" spans="1:3" ht="16" x14ac:dyDescent="0.2">
      <c r="A8" s="15" t="s">
        <v>44</v>
      </c>
      <c r="B8" s="10"/>
    </row>
    <row r="9" spans="1:3" x14ac:dyDescent="0.2">
      <c r="A9" s="5" t="s">
        <v>10</v>
      </c>
      <c r="B9" s="5" t="s">
        <v>9</v>
      </c>
      <c r="C9" s="5" t="s">
        <v>8</v>
      </c>
    </row>
    <row r="10" spans="1:3" ht="16" x14ac:dyDescent="0.2">
      <c r="A10" s="1" t="s">
        <v>6</v>
      </c>
      <c r="B10" s="1" t="s">
        <v>19</v>
      </c>
      <c r="C10" s="1" t="s">
        <v>66</v>
      </c>
    </row>
    <row r="11" spans="1:3" ht="16" x14ac:dyDescent="0.2">
      <c r="A11" s="1" t="s">
        <v>4</v>
      </c>
      <c r="B11" s="1" t="s">
        <v>0</v>
      </c>
      <c r="C11" s="1" t="s">
        <v>60</v>
      </c>
    </row>
    <row r="12" spans="1:3" ht="16" x14ac:dyDescent="0.2">
      <c r="A12" s="1" t="s">
        <v>46</v>
      </c>
      <c r="B12" s="1" t="s">
        <v>49</v>
      </c>
      <c r="C12" s="1" t="s">
        <v>59</v>
      </c>
    </row>
    <row r="13" spans="1:3" ht="16" x14ac:dyDescent="0.2">
      <c r="A13" s="3" t="s">
        <v>11</v>
      </c>
      <c r="B13" s="2" t="s">
        <v>50</v>
      </c>
      <c r="C13" s="14" t="s">
        <v>61</v>
      </c>
    </row>
    <row r="14" spans="1:3" ht="16" x14ac:dyDescent="0.2">
      <c r="A14" s="1" t="s">
        <v>5</v>
      </c>
      <c r="B14" s="1" t="s">
        <v>48</v>
      </c>
      <c r="C14" s="1" t="s">
        <v>63</v>
      </c>
    </row>
    <row r="15" spans="1:3" ht="16" x14ac:dyDescent="0.2">
      <c r="A15" s="1" t="s">
        <v>47</v>
      </c>
      <c r="B15" s="2" t="s">
        <v>50</v>
      </c>
      <c r="C15" s="2" t="s">
        <v>58</v>
      </c>
    </row>
    <row r="17" spans="1:3" ht="32" x14ac:dyDescent="0.2">
      <c r="A17" s="15" t="s">
        <v>45</v>
      </c>
      <c r="B17" s="10"/>
    </row>
    <row r="18" spans="1:3" x14ac:dyDescent="0.2">
      <c r="A18" s="5" t="s">
        <v>10</v>
      </c>
      <c r="B18" s="5" t="s">
        <v>9</v>
      </c>
      <c r="C18" s="5" t="s">
        <v>8</v>
      </c>
    </row>
    <row r="19" spans="1:3" ht="16" x14ac:dyDescent="0.2">
      <c r="A19" s="1" t="s">
        <v>6</v>
      </c>
      <c r="B19" s="1" t="s">
        <v>0</v>
      </c>
      <c r="C19" s="1" t="s">
        <v>62</v>
      </c>
    </row>
    <row r="20" spans="1:3" ht="16" x14ac:dyDescent="0.2">
      <c r="A20" s="1" t="s">
        <v>4</v>
      </c>
      <c r="B20" s="1" t="s">
        <v>2</v>
      </c>
      <c r="C20" s="1" t="s">
        <v>64</v>
      </c>
    </row>
    <row r="21" spans="1:3" ht="32" x14ac:dyDescent="0.2">
      <c r="A21" s="1" t="s">
        <v>46</v>
      </c>
      <c r="B21" s="1" t="s">
        <v>51</v>
      </c>
      <c r="C21" s="1" t="s">
        <v>67</v>
      </c>
    </row>
    <row r="22" spans="1:3" ht="16" x14ac:dyDescent="0.2">
      <c r="A22" s="3" t="s">
        <v>11</v>
      </c>
      <c r="B22" s="2" t="s">
        <v>2</v>
      </c>
      <c r="C22" s="14" t="s">
        <v>65</v>
      </c>
    </row>
    <row r="23" spans="1:3" ht="32" x14ac:dyDescent="0.2">
      <c r="A23" s="1" t="s">
        <v>5</v>
      </c>
      <c r="B23" s="1" t="s">
        <v>52</v>
      </c>
      <c r="C23" s="1" t="s">
        <v>68</v>
      </c>
    </row>
    <row r="24" spans="1:3" ht="32" x14ac:dyDescent="0.2">
      <c r="A24" s="1" t="s">
        <v>47</v>
      </c>
      <c r="B24" s="2" t="s">
        <v>3</v>
      </c>
      <c r="C24" s="16" t="s">
        <v>69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tabSelected="1" workbookViewId="0">
      <selection activeCell="G5" sqref="G5"/>
    </sheetView>
  </sheetViews>
  <sheetFormatPr baseColWidth="10" defaultRowHeight="15" x14ac:dyDescent="0.2"/>
  <cols>
    <col min="1" max="4" width="28.6640625" customWidth="1"/>
  </cols>
  <sheetData>
    <row r="1" spans="1:4" ht="16" thickBot="1" x14ac:dyDescent="0.25">
      <c r="A1" s="49" t="s">
        <v>113</v>
      </c>
      <c r="B1" s="49" t="s">
        <v>114</v>
      </c>
      <c r="C1" s="49" t="s">
        <v>115</v>
      </c>
      <c r="D1" s="49" t="s">
        <v>116</v>
      </c>
    </row>
    <row r="2" spans="1:4" ht="31" thickBot="1" x14ac:dyDescent="0.25">
      <c r="A2" s="49" t="s">
        <v>117</v>
      </c>
      <c r="B2" s="50" t="s">
        <v>118</v>
      </c>
      <c r="C2" s="50" t="s">
        <v>119</v>
      </c>
      <c r="D2" s="50" t="s">
        <v>120</v>
      </c>
    </row>
    <row r="3" spans="1:4" ht="31" thickBot="1" x14ac:dyDescent="0.25">
      <c r="A3" s="49" t="s">
        <v>121</v>
      </c>
      <c r="B3" s="50" t="s">
        <v>122</v>
      </c>
      <c r="C3" s="50" t="s">
        <v>123</v>
      </c>
      <c r="D3" s="50" t="s">
        <v>124</v>
      </c>
    </row>
    <row r="4" spans="1:4" ht="31" thickBot="1" x14ac:dyDescent="0.25">
      <c r="A4" s="49" t="s">
        <v>125</v>
      </c>
      <c r="B4" s="50" t="s">
        <v>126</v>
      </c>
      <c r="C4" s="50" t="s">
        <v>127</v>
      </c>
      <c r="D4" s="50" t="s">
        <v>128</v>
      </c>
    </row>
    <row r="5" spans="1:4" ht="31" thickBot="1" x14ac:dyDescent="0.25">
      <c r="A5" s="49" t="s">
        <v>129</v>
      </c>
      <c r="B5" s="50" t="s">
        <v>130</v>
      </c>
      <c r="C5" s="50" t="s">
        <v>131</v>
      </c>
      <c r="D5" s="50" t="s">
        <v>132</v>
      </c>
    </row>
    <row r="6" spans="1:4" ht="16" thickBot="1" x14ac:dyDescent="0.25">
      <c r="A6" s="49" t="s">
        <v>133</v>
      </c>
      <c r="B6" s="50" t="s">
        <v>134</v>
      </c>
      <c r="C6" s="50" t="s">
        <v>135</v>
      </c>
      <c r="D6" s="50" t="s">
        <v>136</v>
      </c>
    </row>
    <row r="7" spans="1:4" ht="16" thickBot="1" x14ac:dyDescent="0.25">
      <c r="A7" s="49" t="s">
        <v>137</v>
      </c>
      <c r="B7" s="50" t="s">
        <v>138</v>
      </c>
      <c r="C7" s="50" t="s">
        <v>139</v>
      </c>
      <c r="D7" s="50" t="s">
        <v>140</v>
      </c>
    </row>
    <row r="8" spans="1:4" ht="16" thickBot="1" x14ac:dyDescent="0.25">
      <c r="A8" s="49" t="s">
        <v>141</v>
      </c>
      <c r="B8" s="50" t="s">
        <v>142</v>
      </c>
      <c r="C8" s="50" t="s">
        <v>143</v>
      </c>
      <c r="D8" s="50" t="s">
        <v>144</v>
      </c>
    </row>
    <row r="9" spans="1:4" ht="16" thickBot="1" x14ac:dyDescent="0.25">
      <c r="A9" s="49" t="s">
        <v>145</v>
      </c>
      <c r="B9" s="50" t="s">
        <v>146</v>
      </c>
      <c r="C9" s="50" t="s">
        <v>147</v>
      </c>
      <c r="D9" s="50" t="s">
        <v>148</v>
      </c>
    </row>
    <row r="10" spans="1:4" ht="31" thickBot="1" x14ac:dyDescent="0.25">
      <c r="A10" s="49" t="s">
        <v>149</v>
      </c>
      <c r="B10" s="50" t="s">
        <v>150</v>
      </c>
      <c r="C10" s="50" t="s">
        <v>151</v>
      </c>
      <c r="D10" s="50" t="s">
        <v>152</v>
      </c>
    </row>
    <row r="11" spans="1:4" ht="16" thickBot="1" x14ac:dyDescent="0.25">
      <c r="A11" s="49" t="s">
        <v>153</v>
      </c>
      <c r="B11" s="50" t="s">
        <v>154</v>
      </c>
      <c r="C11" s="50" t="s">
        <v>155</v>
      </c>
      <c r="D11" s="50" t="s">
        <v>156</v>
      </c>
    </row>
    <row r="12" spans="1:4" ht="16" thickBot="1" x14ac:dyDescent="0.25">
      <c r="A12" s="49" t="s">
        <v>157</v>
      </c>
      <c r="B12" s="50" t="s">
        <v>158</v>
      </c>
      <c r="C12" s="50" t="s">
        <v>159</v>
      </c>
      <c r="D12" s="50" t="s">
        <v>160</v>
      </c>
    </row>
    <row r="13" spans="1:4" ht="31" thickBot="1" x14ac:dyDescent="0.25">
      <c r="A13" s="49" t="s">
        <v>161</v>
      </c>
      <c r="B13" s="50" t="s">
        <v>162</v>
      </c>
      <c r="C13" s="50" t="s">
        <v>163</v>
      </c>
      <c r="D13" s="50" t="s">
        <v>164</v>
      </c>
    </row>
    <row r="14" spans="1:4" ht="31" thickBot="1" x14ac:dyDescent="0.25">
      <c r="A14" s="49" t="s">
        <v>165</v>
      </c>
      <c r="B14" s="50" t="s">
        <v>166</v>
      </c>
      <c r="C14" s="50" t="s">
        <v>167</v>
      </c>
      <c r="D14" s="50" t="s">
        <v>168</v>
      </c>
    </row>
  </sheetData>
  <pageMargins left="0.7" right="0.7" top="0.78740157499999996" bottom="0.78740157499999996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C16" sqref="C16"/>
    </sheetView>
  </sheetViews>
  <sheetFormatPr baseColWidth="10" defaultRowHeight="15" x14ac:dyDescent="0.2"/>
  <cols>
    <col min="1" max="7" width="25.83203125" customWidth="1"/>
  </cols>
  <sheetData>
    <row r="1" spans="1:7" ht="32" x14ac:dyDescent="0.2">
      <c r="A1" s="9" t="s">
        <v>35</v>
      </c>
      <c r="B1" s="9" t="s">
        <v>34</v>
      </c>
      <c r="C1" s="9" t="s">
        <v>5</v>
      </c>
      <c r="D1" s="9" t="s">
        <v>4</v>
      </c>
      <c r="E1" s="9" t="s">
        <v>13</v>
      </c>
      <c r="F1" s="9" t="s">
        <v>11</v>
      </c>
      <c r="G1" s="9" t="s">
        <v>1</v>
      </c>
    </row>
    <row r="2" spans="1:7" ht="30.5" customHeight="1" x14ac:dyDescent="0.2">
      <c r="A2" s="8" t="s">
        <v>31</v>
      </c>
      <c r="B2" s="4"/>
      <c r="C2" s="4"/>
      <c r="D2" s="4"/>
      <c r="E2" s="4"/>
      <c r="F2" s="4"/>
      <c r="G2" s="4"/>
    </row>
    <row r="3" spans="1:7" ht="30.5" customHeight="1" x14ac:dyDescent="0.2">
      <c r="A3" s="8" t="s">
        <v>29</v>
      </c>
      <c r="B3" s="4"/>
      <c r="C3" s="4"/>
      <c r="D3" s="4"/>
      <c r="E3" s="4"/>
      <c r="F3" s="4"/>
      <c r="G3" s="4"/>
    </row>
    <row r="4" spans="1:7" ht="30.5" customHeight="1" x14ac:dyDescent="0.2">
      <c r="A4" s="8" t="s">
        <v>27</v>
      </c>
      <c r="B4" s="4"/>
      <c r="C4" s="4"/>
      <c r="D4" s="4"/>
      <c r="E4" s="4"/>
      <c r="F4" s="4"/>
      <c r="G4" s="4"/>
    </row>
    <row r="5" spans="1:7" ht="30.5" customHeight="1" x14ac:dyDescent="0.2">
      <c r="A5" s="8" t="s">
        <v>24</v>
      </c>
      <c r="B5" s="4"/>
      <c r="C5" s="4"/>
      <c r="D5" s="4"/>
      <c r="E5" s="4"/>
      <c r="F5" s="4"/>
      <c r="G5" s="4"/>
    </row>
    <row r="6" spans="1:7" ht="30.5" customHeight="1" x14ac:dyDescent="0.2">
      <c r="A6" s="29" t="s">
        <v>74</v>
      </c>
      <c r="B6" s="4"/>
      <c r="C6" s="4"/>
      <c r="D6" s="4"/>
      <c r="E6" s="4"/>
      <c r="F6" s="4"/>
      <c r="G6" s="4"/>
    </row>
    <row r="7" spans="1:7" ht="30.5" customHeight="1" x14ac:dyDescent="0.2">
      <c r="A7" s="29" t="s">
        <v>95</v>
      </c>
      <c r="B7" s="7"/>
      <c r="C7" s="7"/>
      <c r="D7" s="7"/>
      <c r="E7" s="7"/>
      <c r="F7" s="7"/>
      <c r="G7" s="7"/>
    </row>
    <row r="8" spans="1:7" x14ac:dyDescent="0.2">
      <c r="A8" s="29" t="s">
        <v>96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C15" sqref="C15"/>
    </sheetView>
  </sheetViews>
  <sheetFormatPr baseColWidth="10" defaultRowHeight="15" x14ac:dyDescent="0.2"/>
  <cols>
    <col min="1" max="1" width="113.5" customWidth="1"/>
  </cols>
  <sheetData>
    <row r="1" spans="1:1" x14ac:dyDescent="0.2">
      <c r="A1" t="s">
        <v>97</v>
      </c>
    </row>
    <row r="2" spans="1:1" ht="14.5" customHeight="1" x14ac:dyDescent="0.2">
      <c r="A2" s="53" t="s">
        <v>98</v>
      </c>
    </row>
    <row r="3" spans="1:1" x14ac:dyDescent="0.2">
      <c r="A3" s="53"/>
    </row>
    <row r="4" spans="1:1" x14ac:dyDescent="0.2">
      <c r="A4" s="53"/>
    </row>
    <row r="5" spans="1:1" x14ac:dyDescent="0.2">
      <c r="A5" s="53"/>
    </row>
    <row r="6" spans="1:1" x14ac:dyDescent="0.2">
      <c r="A6" s="53"/>
    </row>
    <row r="7" spans="1:1" x14ac:dyDescent="0.2">
      <c r="A7" s="53"/>
    </row>
    <row r="8" spans="1:1" x14ac:dyDescent="0.2">
      <c r="A8" s="53"/>
    </row>
    <row r="9" spans="1:1" x14ac:dyDescent="0.2">
      <c r="A9" s="53"/>
    </row>
    <row r="10" spans="1:1" x14ac:dyDescent="0.2">
      <c r="A10" s="53"/>
    </row>
    <row r="11" spans="1:1" x14ac:dyDescent="0.2">
      <c r="A11" s="53"/>
    </row>
    <row r="12" spans="1:1" x14ac:dyDescent="0.2">
      <c r="A12" s="53"/>
    </row>
    <row r="13" spans="1:1" x14ac:dyDescent="0.2">
      <c r="A13" s="53"/>
    </row>
    <row r="14" spans="1:1" x14ac:dyDescent="0.2">
      <c r="A14" s="53"/>
    </row>
    <row r="15" spans="1:1" x14ac:dyDescent="0.2">
      <c r="A15" s="53"/>
    </row>
    <row r="16" spans="1:1" x14ac:dyDescent="0.2">
      <c r="A16" s="53"/>
    </row>
    <row r="17" spans="1:1" x14ac:dyDescent="0.2">
      <c r="A17" s="53"/>
    </row>
    <row r="18" spans="1:1" x14ac:dyDescent="0.2">
      <c r="A18" s="53"/>
    </row>
    <row r="19" spans="1:1" x14ac:dyDescent="0.2">
      <c r="A19" s="53"/>
    </row>
    <row r="20" spans="1:1" x14ac:dyDescent="0.2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Harmonisierung</vt:lpstr>
      <vt:lpstr>Jahr</vt:lpstr>
      <vt:lpstr>Use cases</vt:lpstr>
      <vt:lpstr>Lernparadigmen</vt:lpstr>
      <vt:lpstr>KI-Ansatz</vt:lpstr>
      <vt:lpstr>Zeitplan</vt:lpstr>
      <vt:lpstr>Kreuztabelle</vt:lpstr>
      <vt:lpstr>Keywords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2025-12-05T09:20:12Z</cp:lastPrinted>
  <dcterms:created xsi:type="dcterms:W3CDTF">2015-06-05T18:19:34Z</dcterms:created>
  <dcterms:modified xsi:type="dcterms:W3CDTF">2025-12-05T09:22:27Z</dcterms:modified>
</cp:coreProperties>
</file>