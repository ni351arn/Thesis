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nnr3fe_bosch_com/Documents/PersonalDrive/HTWG/BA/LaTex/Thesis/Excel/"/>
    </mc:Choice>
  </mc:AlternateContent>
  <xr:revisionPtr revIDLastSave="6" documentId="13_ncr:1_{14C284F5-3215-2441-BBD1-F9A85181A7F1}" xr6:coauthVersionLast="47" xr6:coauthVersionMax="47" xr10:uidLastSave="{63C79172-D32D-49CF-B21E-98D344C34BC8}"/>
  <bookViews>
    <workbookView xWindow="28680" yWindow="-120" windowWidth="29040" windowHeight="15720" firstSheet="1" activeTab="13" xr2:uid="{7A4F4436-C796-4ADD-B90F-7338F9426F96}"/>
  </bookViews>
  <sheets>
    <sheet name="Übersicht" sheetId="2" state="hidden" r:id="rId1"/>
    <sheet name="Übersicht 2.0" sheetId="10" r:id="rId2"/>
    <sheet name="AuswertungTabelle" sheetId="4" state="hidden" r:id="rId3"/>
    <sheet name="Strukturierte Übersicht" sheetId="8" state="hidden" r:id="rId4"/>
    <sheet name="Mapping" sheetId="9" r:id="rId5"/>
    <sheet name="Bereich" sheetId="15" r:id="rId6"/>
    <sheet name="Extraktion" sheetId="11" r:id="rId7"/>
    <sheet name="RQ1" sheetId="5" r:id="rId8"/>
    <sheet name="RQ2" sheetId="6" state="hidden" r:id="rId9"/>
    <sheet name="RQ2 (2)" sheetId="14" r:id="rId10"/>
    <sheet name="Zeitplan" sheetId="18" r:id="rId11"/>
    <sheet name="RQ3" sheetId="7" r:id="rId12"/>
    <sheet name="Allgemeine Infos" sheetId="12" r:id="rId13"/>
    <sheet name="Mapping RQ1 und RQ2" sheetId="17" r:id="rId14"/>
    <sheet name="Quantitative Analyse" sheetId="13" state="hidden" r:id="rId15"/>
  </sheets>
  <definedNames>
    <definedName name="_xlnm.Print_Area" localSheetId="6">Extraktion!$A$1:$V$8</definedName>
    <definedName name="_xlnm.Print_Area" localSheetId="13">'Mapping RQ1 und RQ2'!$A$1:$W$6</definedName>
    <definedName name="_xlnm.Print_Area" localSheetId="7">'RQ1'!$A$1:$W$11</definedName>
    <definedName name="_xlnm.Print_Area" localSheetId="9">'RQ2 (2)'!$A$1:$W$12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0" l="1"/>
  <c r="D16" i="10"/>
  <c r="D21" i="10"/>
  <c r="D18" i="10"/>
  <c r="D14" i="10"/>
  <c r="D13" i="10"/>
  <c r="D12" i="10"/>
  <c r="D10" i="10"/>
  <c r="D9" i="10"/>
  <c r="D8" i="10"/>
  <c r="D7" i="10"/>
  <c r="D6" i="10"/>
  <c r="H28" i="4"/>
  <c r="H27" i="4"/>
  <c r="D26" i="2"/>
  <c r="D25" i="2"/>
  <c r="D24" i="2"/>
  <c r="D21" i="2"/>
  <c r="D22" i="2"/>
  <c r="D23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<sst xmlns="http://schemas.openxmlformats.org/spreadsheetml/2006/main" count="1765" uniqueCount="1122">
  <si>
    <t>ID</t>
  </si>
  <si>
    <t>Suche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</si>
  <si>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</si>
  <si>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</si>
  <si>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</si>
  <si>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</si>
  <si>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</si>
  <si>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</si>
  <si>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</si>
  <si>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</si>
  <si>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</si>
  <si>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</si>
  <si>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</si>
  <si>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</si>
  <si>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</si>
  <si>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</si>
  <si>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</si>
  <si>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</si>
  <si>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</si>
  <si>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</si>
  <si>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</si>
  <si>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</si>
  <si>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</si>
  <si>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</si>
  <si>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</si>
  <si>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</si>
  <si>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</si>
  <si>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</si>
  <si>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Direkt</t>
  </si>
  <si>
    <t>Titel </t>
  </si>
  <si>
    <t>Cloud-Native Architectures for Large-Scale AI-Based Predictive Modeling </t>
  </si>
  <si>
    <t>AI/ML – DevOps Automation   </t>
  </si>
  <si>
    <t>AI-driven devops: Leveraging machine learning for automated software deployment and maintenance</t>
  </si>
  <si>
    <t>Introduction to Generative AI and DevOps:  Synergies, Challenges and Applications</t>
  </si>
  <si>
    <t>Integrating AI into DevOps pipelines: Continuous integration, continuous delivery, and automation in infrastructural management: Projections for future</t>
  </si>
  <si>
    <t>Cloud-Native Application Development for AI-Conducive Architectures.</t>
  </si>
  <si>
    <t>Machine Learning Operations (MLOps): Overview, Definition, and Architecture</t>
  </si>
  <si>
    <t xml:space="preserve">MLOps approach in the cloud-native data pipeline design </t>
  </si>
  <si>
    <t>Machine Learning Based Approach for Handling Imbalanced Data for Intrusion Detection in the Cloud Environment</t>
  </si>
  <si>
    <t>Cloud-Native ML: Architecting AI Solutions for Cloud-First Infrastructures</t>
  </si>
  <si>
    <t xml:space="preserve">Cybersecurity Risk Modeling in CI/CD  Pipelines Using Reinforcement Learning for  Test Optimization  </t>
  </si>
  <si>
    <t xml:space="preserve">AI-Enhanced Continuous Integration and Continuous Deployment Pipelines: Leveraging Machine Learning Models for Predictive Failure Detection, Automated Rollbacks, and Adaptive Deployment Strategies in Agile Software Development </t>
  </si>
  <si>
    <t>AI-Based Threat Detection Systems for Cloud Infrastructure: Architecture, Challenges, and Opportunities</t>
  </si>
  <si>
    <t>AI-Driven Intelligent Auto-Scaling for Cloud Resource</t>
  </si>
  <si>
    <t>The Convergence of AI and DevOps: Exploring Adaptive Automation and Proactive System Reliability</t>
  </si>
  <si>
    <t>From challenges to metrics: An LLM-driven DevOps recommendation system grounded in evidence-based mappings</t>
  </si>
  <si>
    <t>Review of Data Pipelines and Streaming for Generative AI Integration: Challenges, Solutions, and Future Directions</t>
  </si>
  <si>
    <t>Enhancing DevOps Efficiency through AI-Driven Predictive Models for Continuous Integration and Deployment Pipelines</t>
  </si>
  <si>
    <t xml:space="preserve">Automating Kubernetes Operations with AI and  Machine Learning </t>
  </si>
  <si>
    <t xml:space="preserve">AI-Powered Predictive Scaling in Cloud Computing: Enhancing Efficiency through Real-Time Workload Forecasting </t>
  </si>
  <si>
    <t>DevOps 2.0: Embracing AI/ML, Cloud-Native Development, and a Culture of Continuous Transformation</t>
  </si>
  <si>
    <t>Integrating AI into DevOps: Leveraging Machine  Learning for Intelligent Automation in Azure</t>
  </si>
  <si>
    <t>Autor  </t>
  </si>
  <si>
    <t> Muhammad Talha Tahir Bajwa </t>
  </si>
  <si>
    <t>Sudheer Amgothu, Giridhar Kankanala </t>
  </si>
  <si>
    <t>Oyekunle Claudius Oyeniran</t>
  </si>
  <si>
    <t>Satyadhar Joshi</t>
  </si>
  <si>
    <t>Suprit Pattanayak</t>
  </si>
  <si>
    <t>Vijay Kartik Sikha</t>
  </si>
  <si>
    <t>Kreuzberger et al</t>
  </si>
  <si>
    <t>István Pölöskei</t>
  </si>
  <si>
    <t>Vijay Govindrajan</t>
  </si>
  <si>
    <t>Abhishek Gupta</t>
  </si>
  <si>
    <t>Gopinath Kathiresan</t>
  </si>
  <si>
    <t>Venkata Mohit Tamanampudi,</t>
  </si>
  <si>
    <t>Jeanette Uddoh</t>
  </si>
  <si>
    <t>Sudip Poudel</t>
  </si>
  <si>
    <t>Osinaka Chukwu Desmond</t>
  </si>
  <si>
    <t>Ehsan Azizi Khadem , Ali Movaghar</t>
  </si>
  <si>
    <t>Aliyu Enemosah</t>
  </si>
  <si>
    <t>Varun Tamminedi</t>
  </si>
  <si>
    <t>PRANAV MURTHY</t>
  </si>
  <si>
    <t>Das Chowdary et al</t>
  </si>
  <si>
    <t>Satheesh Reddy Gopireddy</t>
  </si>
  <si>
    <t>ID </t>
  </si>
  <si>
    <t>Keywords</t>
  </si>
  <si>
    <t>Cloud-Native AI: Challenges and Innovations in Deploying Large-Scale Machine Learning Models</t>
  </si>
  <si>
    <t>Rahul Amte</t>
  </si>
  <si>
    <t>P27</t>
  </si>
  <si>
    <t>P28</t>
  </si>
  <si>
    <t>P29</t>
  </si>
  <si>
    <t>KI-Ansatz</t>
  </si>
  <si>
    <t>Plattform Domänen</t>
  </si>
  <si>
    <t>Bezug zu RQs</t>
  </si>
  <si>
    <t>Georgios Symeonidis</t>
  </si>
  <si>
    <t>MLOps - Definitions, Tools and Challenges</t>
  </si>
  <si>
    <t xml:space="preserve">The Role of Cloud-Native Architectures in Accelerating Machine Learning Workflows through Data Engineering Innovations </t>
  </si>
  <si>
    <t>Karthik Puthraya</t>
  </si>
  <si>
    <t>Jahr &amp; Autor</t>
  </si>
  <si>
    <t>2025 Joshi</t>
  </si>
  <si>
    <t>RQ1: Sehr stark
RQ2:  Sehr stark
RQ3: Stark</t>
  </si>
  <si>
    <t xml:space="preserve">RQ1: Stark(Fokus auf Herausforderungen wie Overhead, Latenz, Komplexität bei Large-Scale AI) 
RQ2: Sehr stark 
RQ3: Sehr stark(Quantitative Bewertung von Skalierbarkeit, Leistung, Kosteneffizienz) </t>
  </si>
  <si>
    <t>RQ1: Sehr stark
RQ2: Stark
RQ3: Mittel</t>
  </si>
  <si>
    <t>RQ1: Sehr stark
RQ2: Sehr stark
RQ3: Mittel</t>
  </si>
  <si>
    <t>DevOps, CI/CD, GitOps, DevSecOps </t>
  </si>
  <si>
    <t>DevOps, LLMs, Recommendation Systems, Evidence-based SE, Software process improvement </t>
  </si>
  <si>
    <t>Machine Learning (ML), DataOps, MLOps Lifecycle </t>
  </si>
  <si>
    <t>MLOps, AutoML, Deployment, Retraining, Monitoring, Explainability </t>
  </si>
  <si>
    <t>Definiert den MLOps-Lebenszyklus (Data, Model, Code, Ops). Identifiziert zentrale MLOps-Herausforderungen (z.B. effiziente Pipelines, Governance, Robustheit). Listet spezifische Tools für Data Preprocessing, Modeling und Operationalization (z.B. TensorFlow, Kubeflow, BigML). </t>
  </si>
  <si>
    <t>ML-Workflows in Cloud-Umgebungen (Cloud-Native AI) </t>
  </si>
  <si>
    <t>Cloud-native architectures, ML workflows, latency, cost optimization, microservices, AI deployment </t>
  </si>
  <si>
    <t>Kubernetes Operations, Cloud Infrastructure Management </t>
  </si>
  <si>
    <t>Kubernetes Automation, MLOps, Predictive Maintenance, Anomaly Detection, Security Enhancement </t>
  </si>
  <si>
    <t>Large Language Models (LLMs), Semantic Retrieval (MiniLM, MPNet) </t>
  </si>
  <si>
    <t>2025 Bajwa et al. (Wattoo) </t>
  </si>
  <si>
    <t>2024 Amgothu, Kankanala </t>
  </si>
  <si>
    <t>2023 Oyeniran et al. </t>
  </si>
  <si>
    <t>2024 Pattnayak et al. </t>
  </si>
  <si>
    <t>Large-Scale ML Deployment, Edge Computing </t>
  </si>
  <si>
    <t>Cloud, AI, Machine Learning, Deployment, Serverless, Cost Optimization, Security </t>
  </si>
  <si>
    <t>2025 
Rahul Amte</t>
  </si>
  <si>
    <t>Cybersecurity Risk Modeling, CI/CD Pipeline, DevSecOps </t>
  </si>
  <si>
    <t>Reinforcement Learning, Cybersecurity Risk, Test Optimization, DevSecOps, CI/CD </t>
  </si>
  <si>
    <t>2025 
Gopinath Kathiresan</t>
  </si>
  <si>
    <t>CI/CD Pipeline Optimierung, DevOps Workflows </t>
  </si>
  <si>
    <t>Predictive Intelligence, Test Case Prioritization, Anomaly Detection, Resource Allocation </t>
  </si>
  <si>
    <t>2025 
Aliyu Enemosah</t>
  </si>
  <si>
    <t>Software Development Lifecycle, CI/CD, Kubernetes/Docker Orchestration </t>
  </si>
  <si>
    <t>AI-Augmented DevOps, Predictive Analytics, Adaptive Automation, Proactive System Reliability </t>
  </si>
  <si>
    <t xml:space="preserve">2024
Varun Tamminedi
</t>
  </si>
  <si>
    <t>Reinforcement Learning (RL), Deep Q-Networks (DQN) </t>
  </si>
  <si>
    <t>AI-Augmented DevOps (Predictive Analytics, Adaptive Response, Continuous Learning) </t>
  </si>
  <si>
    <t>Cloud-Native AI, Serverless, Edge AI, Containerization, Microservices </t>
  </si>
  <si>
    <t>2024 
Osinaka Chukwu Desmond</t>
  </si>
  <si>
    <t>Rückwärts</t>
  </si>
  <si>
    <t>Vorwärts</t>
  </si>
  <si>
    <t xml:space="preserve">2025 
Ehsan Azizi Khadem , Ali Movaghar </t>
  </si>
  <si>
    <r>
      <t>Prädiktive Modellierung(Ensemble-Methoden wie </t>
    </r>
    <r>
      <rPr>
        <b/>
        <sz val="11"/>
        <rFont val="Aptos Narrow"/>
        <family val="2"/>
        <scheme val="minor"/>
      </rPr>
      <t>XGBoost, Random Forests</t>
    </r>
    <r>
      <rPr>
        <sz val="11"/>
        <rFont val="Aptos Narrow"/>
        <family val="2"/>
        <scheme val="minor"/>
      </rPr>
      <t>, Deep Learning wie </t>
    </r>
    <r>
      <rPr>
        <b/>
        <sz val="11"/>
        <rFont val="Aptos Narrow"/>
        <family val="2"/>
        <scheme val="minor"/>
      </rPr>
      <t>CNNs, RNNs</t>
    </r>
    <r>
      <rPr>
        <sz val="11"/>
        <rFont val="Aptos Narrow"/>
        <family val="2"/>
        <scheme val="minor"/>
      </rPr>
      <t>). MLOps-Integration. Tools: </t>
    </r>
    <r>
      <rPr>
        <b/>
        <sz val="11"/>
        <rFont val="Aptos Narrow"/>
        <family val="2"/>
        <scheme val="minor"/>
      </rPr>
      <t>Kubeflow, MLFlow, TFX</t>
    </r>
    <r>
      <rPr>
        <sz val="11"/>
        <rFont val="Aptos Narrow"/>
        <family val="2"/>
        <scheme val="minor"/>
      </rPr>
      <t>. </t>
    </r>
  </si>
  <si>
    <r>
      <t>Cloud-Native Architektur, Microservices, </t>
    </r>
    <r>
      <rPr>
        <b/>
        <sz val="11"/>
        <rFont val="Aptos Narrow"/>
        <family val="2"/>
        <scheme val="minor"/>
      </rPr>
      <t>Containerisierung</t>
    </r>
    <r>
      <rPr>
        <sz val="11"/>
        <rFont val="Aptos Narrow"/>
        <family val="2"/>
        <scheme val="minor"/>
      </rPr>
      <t>(Docker), </t>
    </r>
    <r>
      <rPr>
        <b/>
        <sz val="11"/>
        <rFont val="Aptos Narrow"/>
        <family val="2"/>
        <scheme val="minor"/>
      </rPr>
      <t>Orchestration</t>
    </r>
    <r>
      <rPr>
        <sz val="11"/>
        <rFont val="Aptos Narrow"/>
        <family val="2"/>
        <scheme val="minor"/>
      </rPr>
      <t>(Kubernetes), Serverless Computing. </t>
    </r>
  </si>
  <si>
    <r>
      <t>Inference Latency:</t>
    </r>
    <r>
      <rPr>
        <sz val="11"/>
        <rFont val="Aptos Narrow"/>
        <family val="2"/>
        <scheme val="minor"/>
      </rPr>
      <t> Reduktion der Latenz um ca. 65% im Cloud-Native-Modell. </t>
    </r>
    <r>
      <rPr>
        <b/>
        <sz val="11"/>
        <rFont val="Aptos Narrow"/>
        <family val="2"/>
        <scheme val="minor"/>
      </rPr>
      <t>Zuverlässigkeit/Self-Healing:</t>
    </r>
    <r>
      <rPr>
        <sz val="11"/>
        <rFont val="Aptos Narrow"/>
        <family val="2"/>
        <scheme val="minor"/>
      </rPr>
      <t>Wiederherstellungszeit &lt; 30 Sekunden nach Knotenausfällen. </t>
    </r>
    <r>
      <rPr>
        <b/>
        <sz val="11"/>
        <rFont val="Aptos Narrow"/>
        <family val="2"/>
        <scheme val="minor"/>
      </rPr>
      <t>Kosteneffizienz:</t>
    </r>
    <r>
      <rPr>
        <sz val="11"/>
        <rFont val="Aptos Narrow"/>
        <family val="2"/>
        <scheme val="minor"/>
      </rPr>
      <t>Reduzierung der Kosten für ungenutzte Ressourcen um 20–35%. </t>
    </r>
  </si>
  <si>
    <r>
      <t>AI/ML-Integrationin DevOps. Prädiktive Analysen. Autoscaling (HPA) unter Verwendung von </t>
    </r>
    <r>
      <rPr>
        <b/>
        <sz val="11"/>
        <rFont val="Aptos Narrow"/>
        <family val="2"/>
        <scheme val="minor"/>
      </rPr>
      <t>TensorFlow</t>
    </r>
    <r>
      <rPr>
        <sz val="11"/>
        <rFont val="Aptos Narrow"/>
        <family val="2"/>
        <scheme val="minor"/>
      </rPr>
      <t>und </t>
    </r>
    <r>
      <rPr>
        <b/>
        <sz val="11"/>
        <rFont val="Aptos Narrow"/>
        <family val="2"/>
        <scheme val="minor"/>
      </rPr>
      <t>PyTorch</t>
    </r>
    <r>
      <rPr>
        <sz val="11"/>
        <rFont val="Aptos Narrow"/>
        <family val="2"/>
        <scheme val="minor"/>
      </rPr>
      <t>. Tools: </t>
    </r>
    <r>
      <rPr>
        <b/>
        <sz val="11"/>
        <rFont val="Aptos Narrow"/>
        <family val="2"/>
        <scheme val="minor"/>
      </rPr>
      <t>IBM Watson AI</t>
    </r>
    <r>
      <rPr>
        <sz val="11"/>
        <rFont val="Aptos Narrow"/>
        <family val="2"/>
        <scheme val="minor"/>
      </rPr>
      <t>, Microsoft Sentinel. </t>
    </r>
  </si>
  <si>
    <r>
      <t>DevOps Automation, CI/CD Pipelines, </t>
    </r>
    <r>
      <rPr>
        <b/>
        <sz val="11"/>
        <rFont val="Aptos Narrow"/>
        <family val="2"/>
        <scheme val="minor"/>
      </rPr>
      <t>Cloud-Native Umgebungen</t>
    </r>
    <r>
      <rPr>
        <sz val="11"/>
        <rFont val="Aptos Narrow"/>
        <family val="2"/>
        <scheme val="minor"/>
      </rPr>
      <t>, Kubernetes Cluster (AWS EKS), Microservices. </t>
    </r>
  </si>
  <si>
    <r>
      <t>CI/CD-Automatisierung:</t>
    </r>
    <r>
      <rPr>
        <sz val="11"/>
        <rFont val="Aptos Narrow"/>
        <family val="2"/>
        <scheme val="minor"/>
      </rPr>
      <t> Reduzierte Deployment-Zeit und verhinderte Build-Fehler (30%). </t>
    </r>
    <r>
      <rPr>
        <b/>
        <sz val="11"/>
        <rFont val="Aptos Narrow"/>
        <family val="2"/>
        <scheme val="minor"/>
      </rPr>
      <t>Sicherheitsüberwachung:</t>
    </r>
    <r>
      <rPr>
        <sz val="11"/>
        <rFont val="Aptos Narrow"/>
        <family val="2"/>
        <scheme val="minor"/>
      </rPr>
      <t> 45% höhere Genauigkeit bei der Bedrohungserkennung. </t>
    </r>
    <r>
      <rPr>
        <b/>
        <sz val="11"/>
        <rFont val="Aptos Narrow"/>
        <family val="2"/>
        <scheme val="minor"/>
      </rPr>
      <t>Workload-Optimierung:</t>
    </r>
    <r>
      <rPr>
        <sz val="11"/>
        <rFont val="Aptos Narrow"/>
        <family val="2"/>
        <scheme val="minor"/>
      </rPr>
      <t> 20% Reduktion der Ressourcenverschwendung durch AI-gesteuertes Autoscaling. </t>
    </r>
  </si>
  <si>
    <r>
      <t>ML/AI für automatisiertes Software Deployment und </t>
    </r>
    <r>
      <rPr>
        <b/>
        <sz val="11"/>
        <rFont val="Aptos Narrow"/>
        <family val="2"/>
        <scheme val="minor"/>
      </rPr>
      <t>Self-Healing</t>
    </r>
    <r>
      <rPr>
        <sz val="11"/>
        <rFont val="Aptos Narrow"/>
        <family val="2"/>
        <scheme val="minor"/>
      </rPr>
      <t>. </t>
    </r>
    <r>
      <rPr>
        <b/>
        <sz val="11"/>
        <rFont val="Aptos Narrow"/>
        <family val="2"/>
        <scheme val="minor"/>
      </rPr>
      <t>Prädiktive Analysen</t>
    </r>
    <r>
      <rPr>
        <sz val="11"/>
        <rFont val="Aptos Narrow"/>
        <family val="2"/>
        <scheme val="minor"/>
      </rPr>
      <t>, Anomalie-Erkennung. </t>
    </r>
  </si>
  <si>
    <r>
      <t>AI-Driven DevOps, CI/CD, Cloud-Umgebungen, </t>
    </r>
    <r>
      <rPr>
        <b/>
        <sz val="11"/>
        <rFont val="Aptos Narrow"/>
        <family val="2"/>
        <scheme val="minor"/>
      </rPr>
      <t>Kubernetes</t>
    </r>
    <r>
      <rPr>
        <sz val="11"/>
        <rFont val="Aptos Narrow"/>
        <family val="2"/>
        <scheme val="minor"/>
      </rPr>
      <t>, Docker, Terraform, Prometheus, Grafana. </t>
    </r>
  </si>
  <si>
    <r>
      <t>Code Quality Analysis</t>
    </r>
    <r>
      <rPr>
        <sz val="11"/>
        <rFont val="Aptos Narrow"/>
        <family val="2"/>
        <scheme val="minor"/>
      </rPr>
      <t> und prädiktive Analysen für Deployment-Optimierung. AI/ML-Modelle zur </t>
    </r>
    <r>
      <rPr>
        <b/>
        <sz val="11"/>
        <rFont val="Aptos Narrow"/>
        <family val="2"/>
        <scheme val="minor"/>
      </rPr>
      <t>Anomalie-Erkennung</t>
    </r>
    <r>
      <rPr>
        <sz val="11"/>
        <rFont val="Aptos Narrow"/>
        <family val="2"/>
        <scheme val="minor"/>
      </rPr>
      <t> in CI/CD Pipelines. Systeme für automatische Wiederherstellung und Skalierung. </t>
    </r>
  </si>
  <si>
    <r>
      <t>Generative AI (GenAI)-Integration. </t>
    </r>
    <r>
      <rPr>
        <b/>
        <sz val="11"/>
        <rFont val="Aptos Narrow"/>
        <family val="2"/>
        <scheme val="minor"/>
      </rPr>
      <t>AI Agents</t>
    </r>
    <r>
      <rPr>
        <sz val="11"/>
        <rFont val="Aptos Narrow"/>
        <family val="2"/>
        <scheme val="minor"/>
      </rPr>
      <t> (GenOps Framework). GenAI-gesteuerte Remediation. </t>
    </r>
  </si>
  <si>
    <r>
      <t>GenOps Framework, CI/CD, </t>
    </r>
    <r>
      <rPr>
        <b/>
        <sz val="11"/>
        <rFont val="Aptos Narrow"/>
        <family val="2"/>
        <scheme val="minor"/>
      </rPr>
      <t>Kubernetes Orchestration</t>
    </r>
    <r>
      <rPr>
        <sz val="11"/>
        <rFont val="Aptos Narrow"/>
        <family val="2"/>
        <scheme val="minor"/>
      </rPr>
      <t>, </t>
    </r>
    <r>
      <rPr>
        <b/>
        <sz val="11"/>
        <rFont val="Aptos Narrow"/>
        <family val="2"/>
        <scheme val="minor"/>
      </rPr>
      <t>Docker Containerization</t>
    </r>
    <r>
      <rPr>
        <sz val="11"/>
        <rFont val="Aptos Narrow"/>
        <family val="2"/>
        <scheme val="minor"/>
      </rPr>
      <t>, Cloud-Native (AWS, GCP, Azure). </t>
    </r>
  </si>
  <si>
    <r>
      <t>Code-Generierung:</t>
    </r>
    <r>
      <rPr>
        <sz val="11"/>
        <rFont val="Aptos Narrow"/>
        <family val="2"/>
        <scheme val="minor"/>
      </rPr>
      <t> Reduzierte Entwicklungszeit um 25%. </t>
    </r>
    <r>
      <rPr>
        <b/>
        <sz val="11"/>
        <rFont val="Aptos Narrow"/>
        <family val="2"/>
        <scheme val="minor"/>
      </rPr>
      <t>IaC:</t>
    </r>
    <r>
      <rPr>
        <sz val="11"/>
        <rFont val="Aptos Narrow"/>
        <family val="2"/>
        <scheme val="minor"/>
      </rPr>
      <t>Provisionierungszeit um 30% reduziert. </t>
    </r>
    <r>
      <rPr>
        <b/>
        <sz val="11"/>
        <rFont val="Aptos Narrow"/>
        <family val="2"/>
        <scheme val="minor"/>
      </rPr>
      <t>Monitoring:</t>
    </r>
    <r>
      <rPr>
        <sz val="11"/>
        <rFont val="Aptos Narrow"/>
        <family val="2"/>
        <scheme val="minor"/>
      </rPr>
      <t> Reduzierte Zeit zur Behebung von Problemen um 40%. </t>
    </r>
    <r>
      <rPr>
        <b/>
        <sz val="11"/>
        <rFont val="Aptos Narrow"/>
        <family val="2"/>
        <scheme val="minor"/>
      </rPr>
      <t>ROI:</t>
    </r>
    <r>
      <rPr>
        <sz val="11"/>
        <rFont val="Aptos Narrow"/>
        <family val="2"/>
        <scheme val="minor"/>
      </rPr>
      <t> Durchschnittlicher Return on Investment von </t>
    </r>
    <r>
      <rPr>
        <b/>
        <sz val="11"/>
        <rFont val="Aptos Narrow"/>
        <family val="2"/>
        <scheme val="minor"/>
      </rPr>
      <t>200%</t>
    </r>
    <r>
      <rPr>
        <sz val="11"/>
        <rFont val="Aptos Narrow"/>
        <family val="2"/>
        <scheme val="minor"/>
      </rPr>
      <t> im ersten Jahr. GenAI Agents steuern dynamische Ressourcenzuweisung in Kubernetes. </t>
    </r>
  </si>
  <si>
    <r>
      <t>RQ1: Sehr stark(Identifizierung von GenAI-spezifischen Use Cases) 
RQ2: Sehr stark(Fokus auf GenAI/AI Agents und Cloud-Plattformen) 
RQ3: </t>
    </r>
    <r>
      <rPr>
        <b/>
        <sz val="11"/>
        <rFont val="Aptos Narrow"/>
        <family val="2"/>
        <scheme val="minor"/>
      </rPr>
      <t>Sehr stark</t>
    </r>
    <r>
      <rPr>
        <sz val="11"/>
        <rFont val="Aptos Narrow"/>
        <family val="2"/>
        <scheme val="minor"/>
      </rPr>
      <t>(Quantitative Belege des Mehrwerts und der Umsetzbarkeit in Cloud-Native/Kubernetes) </t>
    </r>
  </si>
  <si>
    <r>
      <t>AI-Integration in CI/CD und Infrastruktur. </t>
    </r>
    <r>
      <rPr>
        <b/>
        <sz val="11"/>
        <rFont val="Aptos Narrow"/>
        <family val="2"/>
        <scheme val="minor"/>
      </rPr>
      <t>Prädiktive Wartung</t>
    </r>
    <r>
      <rPr>
        <sz val="11"/>
        <rFont val="Aptos Narrow"/>
        <family val="2"/>
        <scheme val="minor"/>
      </rPr>
      <t>(Predictive Maintenance). </t>
    </r>
    <r>
      <rPr>
        <b/>
        <sz val="11"/>
        <rFont val="Aptos Narrow"/>
        <family val="2"/>
        <scheme val="minor"/>
      </rPr>
      <t>AI-Powered Infrastructure as Code (IaC)</t>
    </r>
    <r>
      <rPr>
        <sz val="11"/>
        <rFont val="Aptos Narrow"/>
        <family val="2"/>
        <scheme val="minor"/>
      </rPr>
      <t>. </t>
    </r>
  </si>
  <si>
    <r>
      <t>DevOps Pipelines(CI/CD), </t>
    </r>
    <r>
      <rPr>
        <b/>
        <sz val="11"/>
        <rFont val="Aptos Narrow"/>
        <family val="2"/>
        <scheme val="minor"/>
      </rPr>
      <t>Automated Infrastructure Management</t>
    </r>
    <r>
      <rPr>
        <sz val="11"/>
        <rFont val="Aptos Narrow"/>
        <family val="2"/>
        <scheme val="minor"/>
      </rPr>
      <t>. </t>
    </r>
  </si>
  <si>
    <r>
      <t>CI/CD Use Cases:</t>
    </r>
    <r>
      <rPr>
        <sz val="11"/>
        <rFont val="Aptos Narrow"/>
        <family val="2"/>
        <scheme val="minor"/>
      </rPr>
      <t> Lösen von Code Branching/Merge-Konflikten. </t>
    </r>
    <r>
      <rPr>
        <b/>
        <sz val="11"/>
        <rFont val="Aptos Narrow"/>
        <family val="2"/>
        <scheme val="minor"/>
      </rPr>
      <t>Prädiktive Analysen</t>
    </r>
    <r>
      <rPr>
        <sz val="11"/>
        <rFont val="Aptos Narrow"/>
        <family val="2"/>
        <scheme val="minor"/>
      </rPr>
      <t> zur Vorhersage von Build-Fehlern. </t>
    </r>
    <r>
      <rPr>
        <b/>
        <sz val="11"/>
        <rFont val="Aptos Narrow"/>
        <family val="2"/>
        <scheme val="minor"/>
      </rPr>
      <t>Sicherheit:</t>
    </r>
    <r>
      <rPr>
        <sz val="11"/>
        <rFont val="Aptos Narrow"/>
        <family val="2"/>
        <scheme val="minor"/>
      </rPr>
      <t>Schnelle und effiziente Suche nach Sicherheitslücken (</t>
    </r>
    <r>
      <rPr>
        <b/>
        <sz val="11"/>
        <rFont val="Aptos Narrow"/>
        <family val="2"/>
        <scheme val="minor"/>
      </rPr>
      <t>ShiftLeft</t>
    </r>
    <r>
      <rPr>
        <sz val="11"/>
        <rFont val="Aptos Narrow"/>
        <family val="2"/>
        <scheme val="minor"/>
      </rPr>
      <t>). </t>
    </r>
    <r>
      <rPr>
        <b/>
        <sz val="11"/>
        <rFont val="Aptos Narrow"/>
        <family val="2"/>
        <scheme val="minor"/>
      </rPr>
      <t>IaC:</t>
    </r>
    <r>
      <rPr>
        <sz val="11"/>
        <rFont val="Aptos Narrow"/>
        <family val="2"/>
        <scheme val="minor"/>
      </rPr>
      <t>Schnellere Bereitstellung, verbesserte Sicherheit/Konsistenz und </t>
    </r>
    <r>
      <rPr>
        <b/>
        <sz val="11"/>
        <rFont val="Aptos Narrow"/>
        <family val="2"/>
        <scheme val="minor"/>
      </rPr>
      <t>Prädiktives Ressourcenmanagement</t>
    </r>
    <r>
      <rPr>
        <sz val="11"/>
        <rFont val="Aptos Narrow"/>
        <family val="2"/>
        <scheme val="minor"/>
      </rPr>
      <t>. </t>
    </r>
  </si>
  <si>
    <r>
      <t>RL ermöglicht adaptives Risikomanagement und Testoptimierung. Das RL-Modell erreicht 93,7% Erkennungsgenauigkeit für Schwachstellen</t>
    </r>
    <r>
      <rPr>
        <sz val="11"/>
        <rFont val="Aptos Narrow"/>
        <family val="2"/>
        <scheme val="minor"/>
      </rPr>
      <t> und reduziert die durchschnittliche Laufzeit im CI/CD um 40%. Bietet dynamische Entscheidungsfindung in unsicheren Umgebungen. </t>
    </r>
  </si>
  <si>
    <r>
      <t>RQ1: </t>
    </r>
    <r>
      <rPr>
        <b/>
        <sz val="11"/>
        <rFont val="Aptos Narrow"/>
        <family val="2"/>
        <scheme val="minor"/>
      </rPr>
      <t>Stark</t>
    </r>
    <r>
      <rPr>
        <sz val="11"/>
        <rFont val="Aptos Narrow"/>
        <family val="2"/>
        <scheme val="minor"/>
      </rPr>
      <t> (Cybersicherheitsrisiken und Testoptimierung Use Cases) 
RQ2: Sehr stark (Spezifische Anwendung von RL/DQN im CI/CD-Sicherheitsprozess) 
RQ3: Stark (Quantitative Metriken zur Bewertung von Effizienz und Zuverlässigkeit) </t>
    </r>
  </si>
  <si>
    <r>
      <t>Das vorgeschlagene Modell verbessert MTTR um 41,7%</t>
    </r>
    <r>
      <rPr>
        <sz val="11"/>
        <rFont val="Aptos Narrow"/>
        <family val="2"/>
        <scheme val="minor"/>
      </rPr>
      <t> und </t>
    </r>
    <r>
      <rPr>
        <b/>
        <sz val="11"/>
        <rFont val="Aptos Narrow"/>
        <family val="2"/>
        <scheme val="minor"/>
      </rPr>
      <t>MTTD um 41,7%</t>
    </r>
    <r>
      <rPr>
        <sz val="11"/>
        <rFont val="Aptos Narrow"/>
        <family val="2"/>
        <scheme val="minor"/>
      </rPr>
      <t>. Die Release Velocity steigt um 40%, und die Anomalieerkennung verbessert sich signifikant. Das System integriert KI-Logik mit CI/CD-Tools (Jenkins, Kubernetes, Prometheus, Grafana). </t>
    </r>
  </si>
  <si>
    <r>
      <t>RQ1: </t>
    </r>
    <r>
      <rPr>
        <b/>
        <sz val="11"/>
        <rFont val="Aptos Narrow"/>
        <family val="2"/>
        <scheme val="minor"/>
      </rPr>
      <t>Stark</t>
    </r>
    <r>
      <rPr>
        <sz val="11"/>
        <rFont val="Aptos Narrow"/>
        <family val="2"/>
        <scheme val="minor"/>
      </rPr>
      <t> (Identifiziert Herausforderungen im traditionellen DevOps/Monitoring) 
RQ2: Stark (Modell zur Integration von Predictive Analytics, Adaptive Response und DevOps-Tools) 
RQ3: Sehr stark (Quantitativer Vergleich des Mehrwerts des AI-Augmented DevOps-Modells </t>
    </r>
  </si>
  <si>
    <r>
      <t>Prädiktive Modelle (Regression, Clustering, Neuronale Netze), </t>
    </r>
    <r>
      <rPr>
        <b/>
        <sz val="11"/>
        <rFont val="Aptos Narrow"/>
        <family val="2"/>
        <scheme val="minor"/>
      </rPr>
      <t>Reinforcement Learning</t>
    </r>
    <r>
      <rPr>
        <sz val="11"/>
        <rFont val="Aptos Narrow"/>
        <family val="2"/>
        <scheme val="minor"/>
      </rPr>
      <t> </t>
    </r>
  </si>
  <si>
    <r>
      <t>KI-gesteuerte Workflows verbessern Build-Optimierung (Vorhersage von Fehlern), Testfallpriorisierung</t>
    </r>
    <r>
      <rPr>
        <sz val="11"/>
        <rFont val="Aptos Narrow"/>
        <family val="2"/>
        <scheme val="minor"/>
      </rPr>
      <t> und dynamische Ressourcenallokation. Listet typische KI-Techniken (z.B. Decision Trees, SVM, Gradient Boosting) und deren </t>
    </r>
    <r>
      <rPr>
        <b/>
        <sz val="11"/>
        <rFont val="Aptos Narrow"/>
        <family val="2"/>
        <scheme val="minor"/>
      </rPr>
      <t>Anwendungen in CI/CD</t>
    </r>
    <r>
      <rPr>
        <sz val="11"/>
        <rFont val="Aptos Narrow"/>
        <family val="2"/>
        <scheme val="minor"/>
      </rPr>
      <t>. Reduziert Build-Fehlerquoten (bis zu 30%). </t>
    </r>
  </si>
  <si>
    <r>
      <t>RQ1: </t>
    </r>
    <r>
      <rPr>
        <b/>
        <sz val="11"/>
        <rFont val="Aptos Narrow"/>
        <family val="2"/>
        <scheme val="minor"/>
      </rPr>
      <t>Stark</t>
    </r>
    <r>
      <rPr>
        <sz val="11"/>
        <rFont val="Aptos Narrow"/>
        <family val="2"/>
        <scheme val="minor"/>
      </rPr>
      <t> (Herausforderungen traditioneller CI/CD-Workflows und Lösungs-Use Cases) 
RQ2: Sehr stark (Detaillierte Übersicht über KI-Techniken und deren Einsatzkontexte in CI/CD) 
RQ3: Mittel (Betonung von Mehrwert, aber Diskussion von Einschränkungen wie Datenqualität und Interpretierbarkeit) </t>
    </r>
  </si>
  <si>
    <r>
      <t>AI/ML-gesteuerte Automatisierung</t>
    </r>
    <r>
      <rPr>
        <sz val="11"/>
        <rFont val="Aptos Narrow"/>
        <family val="2"/>
        <scheme val="minor"/>
      </rPr>
      <t> (Predictive Maintenance, Intelligent Resource Allocation, Automated Anomaly Detection) </t>
    </r>
  </si>
  <si>
    <r>
      <t>KI-Automatisierung in Kubernetes reduziert </t>
    </r>
    <r>
      <rPr>
        <b/>
        <sz val="11"/>
        <rFont val="Aptos Narrow"/>
        <family val="2"/>
        <scheme val="minor"/>
      </rPr>
      <t>manuelle Aufgaben um 52%</t>
    </r>
    <r>
      <rPr>
        <sz val="11"/>
        <rFont val="Aptos Narrow"/>
        <family val="2"/>
        <scheme val="minor"/>
      </rPr>
      <t> und die </t>
    </r>
    <r>
      <rPr>
        <b/>
        <sz val="11"/>
        <rFont val="Aptos Narrow"/>
        <family val="2"/>
        <scheme val="minor"/>
      </rPr>
      <t>Deployment Success Rate steigt um 47%</t>
    </r>
    <r>
      <rPr>
        <sz val="11"/>
        <rFont val="Aptos Narrow"/>
        <family val="2"/>
        <scheme val="minor"/>
      </rPr>
      <t>. MTTR (Mean Time to Resolution) sinkt um 39%. Herausforderung ist die Komplexität des Managements in Multi-Cluster-Systemen. </t>
    </r>
  </si>
  <si>
    <r>
      <t>RQ1: </t>
    </r>
    <r>
      <rPr>
        <b/>
        <sz val="11"/>
        <rFont val="Aptos Narrow"/>
        <family val="2"/>
        <scheme val="minor"/>
      </rPr>
      <t>Stark</t>
    </r>
    <r>
      <rPr>
        <sz val="11"/>
        <rFont val="Aptos Narrow"/>
        <family val="2"/>
        <scheme val="minor"/>
      </rPr>
      <t> (Identifiziert Herausforderungen und Verbesserungen in K8s-Ops) 
RQ2: Stark (Spezifische KI-Anwendungen in Container-Orchestrierung) 
RQ3: Stark (Bietet quantitative Metriken für den Mehrwert in K8s-Umgebungen) </t>
    </r>
  </si>
  <si>
    <r>
      <t>Herausforderungen im Cloud-Native AI Deployment: Latenz, Ressourcenmanagement, operative Komplexität, Daten-Governance und Compliance. Bewertet Strategien zur Kostenoptimierung</t>
    </r>
    <r>
      <rPr>
        <sz val="11"/>
        <rFont val="Aptos Narrow"/>
        <family val="2"/>
        <scheme val="minor"/>
      </rPr>
      <t> (Auto-scaling, Multi-tenancy, Serverless AI, Edge AI) und deren Einschränkungen. </t>
    </r>
  </si>
  <si>
    <r>
      <t>RQ1: </t>
    </r>
    <r>
      <rPr>
        <b/>
        <sz val="11"/>
        <rFont val="Aptos Narrow"/>
        <family val="2"/>
        <scheme val="minor"/>
      </rPr>
      <t>Sehr stark</t>
    </r>
    <r>
      <rPr>
        <sz val="11"/>
        <rFont val="Aptos Narrow"/>
        <family val="2"/>
        <scheme val="minor"/>
      </rPr>
      <t> (Identifiziert und kategorisiert Cloud-Native AI Challenges) 
RQ2: Stark (Architekturelle Ansätze wie Serverless und Edge AI als Lösungsmechanismen) 
RQ3: Stark (Bewertung spezifischer Optimierungsstrategien und deren Umsetzbarkeit) </t>
    </r>
  </si>
  <si>
    <r>
      <t>Entwicklung eines evidenzbasierten Empfehlungssystems</t>
    </r>
    <r>
      <rPr>
        <sz val="11"/>
        <rFont val="Aptos Narrow"/>
        <family val="2"/>
        <scheme val="minor"/>
      </rPr>
      <t>, das 294 Herausforderungen (z.B. </t>
    </r>
    <r>
      <rPr>
        <b/>
        <sz val="11"/>
        <rFont val="Aptos Narrow"/>
        <family val="2"/>
        <scheme val="minor"/>
      </rPr>
      <t>Deployment Instabilität, Toolchain Komplexität</t>
    </r>
    <r>
      <rPr>
        <sz val="11"/>
        <rFont val="Aptos Narrow"/>
        <family val="2"/>
        <scheme val="minor"/>
      </rPr>
      <t>) systematisch mit 286 Erfolgsfaktoren, 35 Prozessen und 83 Metriken verknüpft. Ermöglicht </t>
    </r>
    <r>
      <rPr>
        <b/>
        <sz val="11"/>
        <rFont val="Aptos Narrow"/>
        <family val="2"/>
        <scheme val="minor"/>
      </rPr>
      <t>Challenge-centric decision support</t>
    </r>
    <r>
      <rPr>
        <sz val="11"/>
        <rFont val="Aptos Narrow"/>
        <family val="2"/>
        <scheme val="minor"/>
      </rPr>
      <t>. </t>
    </r>
  </si>
  <si>
    <r>
      <t>RQ1: </t>
    </r>
    <r>
      <rPr>
        <b/>
        <sz val="11"/>
        <rFont val="Aptos Narrow"/>
        <family val="2"/>
        <scheme val="minor"/>
      </rPr>
      <t>Sehr stark</t>
    </r>
    <r>
      <rPr>
        <sz val="11"/>
        <rFont val="Aptos Narrow"/>
        <family val="2"/>
        <scheme val="minor"/>
      </rPr>
      <t> (Systematische Erfassung von Challenges)
Q2: Stark (LLM-Einsatz für Entscheidungsfindung) 
RQ3: Mittel (Schema liefert Metriken/Prozesse zur Bewertung)  </t>
    </r>
  </si>
  <si>
    <r>
      <t>MLOps, AutoGen, </t>
    </r>
    <r>
      <rPr>
        <b/>
        <sz val="11"/>
        <rFont val="Aptos Narrow"/>
        <family val="2"/>
        <scheme val="minor"/>
      </rPr>
      <t>Automated Machine Learning (AutoML)</t>
    </r>
    <r>
      <rPr>
        <sz val="11"/>
        <rFont val="Aptos Narrow"/>
        <family val="2"/>
        <scheme val="minor"/>
      </rPr>
      <t> </t>
    </r>
  </si>
  <si>
    <r>
      <t>RQ1: </t>
    </r>
    <r>
      <rPr>
        <b/>
        <sz val="11"/>
        <rFont val="Aptos Narrow"/>
        <family val="2"/>
        <scheme val="minor"/>
      </rPr>
      <t>Stark</t>
    </r>
    <r>
      <rPr>
        <sz val="11"/>
        <rFont val="Aptos Narrow"/>
        <family val="2"/>
        <scheme val="minor"/>
      </rPr>
      <t> (Definiert MLOps Challenges und Use Cases) 
RQ2: Sehr stark (Umfassende Übersicht über MLOps-Ansätze und Tools) 
RQ3: Schwach </t>
    </r>
  </si>
  <si>
    <t>Cloud-Native Architekturen (Microservices, Containerization, Serverless Computing, Event-driven) </t>
  </si>
  <si>
    <r>
      <t>Cloud-Native Architekturen reduzieren Trainingszeit um 50%</t>
    </r>
    <r>
      <rPr>
        <sz val="11"/>
        <rFont val="Aptos Narrow"/>
        <family val="2"/>
        <scheme val="minor"/>
      </rPr>
      <t> und Inferenz-Latenz um ca. 50%. Sie senken die Kosten (50% Cost Savings) und verbessern die Fehlertoleranz (80% Improvement in Recovery Time). Fokussiert auf </t>
    </r>
    <r>
      <rPr>
        <b/>
        <sz val="11"/>
        <rFont val="Aptos Narrow"/>
        <family val="2"/>
        <scheme val="minor"/>
      </rPr>
      <t>Skalierbarkeit</t>
    </r>
    <r>
      <rPr>
        <sz val="11"/>
        <rFont val="Aptos Narrow"/>
        <family val="2"/>
        <scheme val="minor"/>
      </rPr>
      <t> und </t>
    </r>
    <r>
      <rPr>
        <b/>
        <sz val="11"/>
        <rFont val="Aptos Narrow"/>
        <family val="2"/>
        <scheme val="minor"/>
      </rPr>
      <t>Kosteneffizienz</t>
    </r>
    <r>
      <rPr>
        <sz val="11"/>
        <rFont val="Aptos Narrow"/>
        <family val="2"/>
        <scheme val="minor"/>
      </rPr>
      <t> für ML-Workloads. </t>
    </r>
  </si>
  <si>
    <r>
      <t>RQ1: </t>
    </r>
    <r>
      <rPr>
        <b/>
        <sz val="11"/>
        <rFont val="Aptos Narrow"/>
        <family val="2"/>
        <scheme val="minor"/>
      </rPr>
      <t>Mittel</t>
    </r>
    <r>
      <rPr>
        <sz val="11"/>
        <rFont val="Aptos Narrow"/>
        <family val="2"/>
        <scheme val="minor"/>
      </rPr>
      <t> (Herausforderungen traditioneller ML-Workflows)
RQ2: </t>
    </r>
    <r>
      <rPr>
        <b/>
        <sz val="11"/>
        <rFont val="Aptos Narrow"/>
        <family val="2"/>
        <scheme val="minor"/>
      </rPr>
      <t>Stark</t>
    </r>
    <r>
      <rPr>
        <sz val="11"/>
        <rFont val="Aptos Narrow"/>
        <family val="2"/>
        <scheme val="minor"/>
      </rPr>
      <t> (Architekturen und Mechanismen für ML-Beschleunigung) 
RQ3: Sehr stark (Quantifizierte Bewertung des Mehrwerts in Cloud-Native Umgebungen) </t>
    </r>
  </si>
  <si>
    <t>2022, Satheesh Reddy Gopireddy </t>
  </si>
  <si>
    <r>
      <t>AI/ML für Intelligente Automation</t>
    </r>
    <r>
      <rPr>
        <sz val="11"/>
        <rFont val="Calibri"/>
        <family val="2"/>
      </rPr>
      <t>: </t>
    </r>
    <r>
      <rPr>
        <b/>
        <sz val="11"/>
        <rFont val="Calibri"/>
        <family val="2"/>
      </rPr>
      <t>Predictive Analytics</t>
    </r>
    <r>
      <rPr>
        <sz val="11"/>
        <rFont val="Calibri"/>
        <family val="2"/>
      </rPr>
      <t>, Automated Testing, </t>
    </r>
    <r>
      <rPr>
        <b/>
        <sz val="11"/>
        <rFont val="Calibri"/>
        <family val="2"/>
      </rPr>
      <t>Anomaly Detection</t>
    </r>
    <r>
      <rPr>
        <sz val="11"/>
        <rFont val="Calibri"/>
        <family val="2"/>
      </rPr>
      <t>, Continuous Optimization. </t>
    </r>
  </si>
  <si>
    <r>
      <t>Azure DevOps Ecosystem</t>
    </r>
    <r>
      <rPr>
        <sz val="11"/>
        <rFont val="Calibri"/>
        <family val="2"/>
      </rPr>
      <t>, Cloud Automation, SDLC, Finanzdienstleistungen, Gesundheitswesen. </t>
    </r>
  </si>
  <si>
    <r>
      <t>KI transformiert DevOps von reaktiv zu </t>
    </r>
    <r>
      <rPr>
        <b/>
        <sz val="11"/>
        <rFont val="Calibri"/>
        <family val="2"/>
      </rPr>
      <t>proaktiv</t>
    </r>
    <r>
      <rPr>
        <sz val="11"/>
        <rFont val="Calibri"/>
        <family val="2"/>
      </rPr>
      <t>. Use Cases: </t>
    </r>
    <r>
      <rPr>
        <b/>
        <sz val="11"/>
        <rFont val="Calibri"/>
        <family val="2"/>
      </rPr>
      <t>Predictive Analytics</t>
    </r>
    <r>
      <rPr>
        <sz val="11"/>
        <rFont val="Calibri"/>
        <family val="2"/>
      </rPr>
      <t> (Vorhersage von Systemausfällen in Finanzdienstleistungen), </t>
    </r>
    <r>
      <rPr>
        <b/>
        <sz val="11"/>
        <rFont val="Calibri"/>
        <family val="2"/>
      </rPr>
      <t>Automatisierte Optimierung</t>
    </r>
    <r>
      <rPr>
        <sz val="11"/>
        <rFont val="Calibri"/>
        <family val="2"/>
      </rPr>
      <t> der VM-Konfiguration und Ressourcenzuweisung. </t>
    </r>
  </si>
  <si>
    <t>RQ1: Sehr stark, RQ2: Stark, RQ3: Stark </t>
  </si>
  <si>
    <t>2024, Das Chowdary et al. </t>
  </si>
  <si>
    <r>
      <t>AI/ML Integration in DevOps</t>
    </r>
    <r>
      <rPr>
        <sz val="11"/>
        <rFont val="Calibri"/>
        <family val="2"/>
      </rPr>
      <t>: Automatisierung repetitiver Aufgaben (Infrastructure Provisioning, Configuration Management, </t>
    </r>
    <r>
      <rPr>
        <b/>
        <sz val="11"/>
        <rFont val="Calibri"/>
        <family val="2"/>
      </rPr>
      <t>Anomaly Detection</t>
    </r>
    <r>
      <rPr>
        <sz val="11"/>
        <rFont val="Calibri"/>
        <family val="2"/>
      </rPr>
      <t>). </t>
    </r>
  </si>
  <si>
    <r>
      <t>DevOps</t>
    </r>
    <r>
      <rPr>
        <sz val="11"/>
        <rFont val="Calibri"/>
        <family val="2"/>
      </rPr>
      <t>, </t>
    </r>
    <r>
      <rPr>
        <b/>
        <sz val="11"/>
        <rFont val="Calibri"/>
        <family val="2"/>
      </rPr>
      <t>Cloud-Native Development</t>
    </r>
    <r>
      <rPr>
        <sz val="11"/>
        <rFont val="Calibri"/>
        <family val="2"/>
      </rPr>
      <t>, Software Delivery, Cloud Computing. </t>
    </r>
  </si>
  <si>
    <r>
      <t>DevOps 2.0: Integration von AI/ML, Cloud-Native Entwicklung, Containerisierung und Microservices zur </t>
    </r>
    <r>
      <rPr>
        <b/>
        <sz val="11"/>
        <rFont val="Calibri"/>
        <family val="2"/>
      </rPr>
      <t>Steigerung der Effizienz und Agilität</t>
    </r>
    <r>
      <rPr>
        <sz val="11"/>
        <rFont val="Calibri"/>
        <family val="2"/>
      </rPr>
      <t> im SDLC. AI/ML-Tools </t>
    </r>
    <r>
      <rPr>
        <b/>
        <sz val="11"/>
        <rFont val="Calibri"/>
        <family val="2"/>
      </rPr>
      <t>automatisieren die Infrastrukturbereitstellung</t>
    </r>
    <r>
      <rPr>
        <sz val="11"/>
        <rFont val="Calibri"/>
        <family val="2"/>
      </rPr>
      <t> und Konfigurationsverwaltung. </t>
    </r>
  </si>
  <si>
    <t>2021, PRANAV MURTHY </t>
  </si>
  <si>
    <r>
      <t>AI-Powered Predictive Scaling</t>
    </r>
    <r>
      <rPr>
        <sz val="11"/>
        <rFont val="Calibri"/>
        <family val="2"/>
      </rPr>
      <t> (ML-Algorithmen: Time Series Analysis, Regression Models, Neural Networks). </t>
    </r>
  </si>
  <si>
    <r>
      <t>Cloud Computing Resource Management</t>
    </r>
    <r>
      <rPr>
        <sz val="11"/>
        <rFont val="Calibri"/>
        <family val="2"/>
      </rPr>
      <t>, Workload Forecasting. </t>
    </r>
  </si>
  <si>
    <r>
      <t>AI-Powered Predictive Scaling</t>
    </r>
    <r>
      <rPr>
        <sz val="11"/>
        <rFont val="Calibri"/>
        <family val="2"/>
      </rPr>
      <t>, Cloud Computing, Resource Management, Predictive Forecasting. </t>
    </r>
  </si>
  <si>
    <r>
      <t>KI-gestütztes prädiktives Scaling antizipiert zukünftige Workloads zur </t>
    </r>
    <r>
      <rPr>
        <b/>
        <sz val="11"/>
        <rFont val="Calibri"/>
        <family val="2"/>
      </rPr>
      <t>Ressourcenoptimierung</t>
    </r>
    <r>
      <rPr>
        <sz val="11"/>
        <rFont val="Calibri"/>
        <family val="2"/>
      </rPr>
      <t> und zur Vermeidung von Über- oder Unterbereitstellung. Verbessert die Ressourcennutzung und senkt die Kosten. </t>
    </r>
  </si>
  <si>
    <t>RQ1: Stark, RQ2: Mittel, RQ3: Sehr stark </t>
  </si>
  <si>
    <t>2025, Satyadhar Joshi </t>
  </si>
  <si>
    <r>
      <t>Generative AI (GenAI)</t>
    </r>
    <r>
      <rPr>
        <sz val="11"/>
        <rFont val="Calibri"/>
        <family val="2"/>
      </rPr>
      <t>, Large Language Models (LLMs), </t>
    </r>
    <r>
      <rPr>
        <b/>
        <sz val="11"/>
        <rFont val="Calibri"/>
        <family val="2"/>
      </rPr>
      <t>Retrieval-Augmented Generation (RAG)</t>
    </r>
    <r>
      <rPr>
        <sz val="11"/>
        <rFont val="Calibri"/>
        <family val="2"/>
      </rPr>
      <t>. Daten-Streaming (</t>
    </r>
    <r>
      <rPr>
        <b/>
        <sz val="11"/>
        <rFont val="Calibri"/>
        <family val="2"/>
      </rPr>
      <t>Apache Kafka, AWS Kinesis</t>
    </r>
    <r>
      <rPr>
        <sz val="11"/>
        <rFont val="Calibri"/>
        <family val="2"/>
      </rPr>
      <t>), </t>
    </r>
    <r>
      <rPr>
        <b/>
        <sz val="11"/>
        <rFont val="Calibri"/>
        <family val="2"/>
      </rPr>
      <t>Vector Databases</t>
    </r>
    <r>
      <rPr>
        <sz val="11"/>
        <rFont val="Calibri"/>
        <family val="2"/>
      </rPr>
      <t>. </t>
    </r>
  </si>
  <si>
    <r>
      <t>Data Pipelines, </t>
    </r>
    <r>
      <rPr>
        <b/>
        <sz val="11"/>
        <rFont val="Calibri"/>
        <family val="2"/>
      </rPr>
      <t>Data Streaming</t>
    </r>
    <r>
      <rPr>
        <sz val="11"/>
        <rFont val="Calibri"/>
        <family val="2"/>
      </rPr>
      <t>, GenAI Integration, Cloud-Infrastruktur. </t>
    </r>
  </si>
  <si>
    <r>
      <t>Fokus auf die kritische Rolle von </t>
    </r>
    <r>
      <rPr>
        <b/>
        <sz val="11"/>
        <rFont val="Calibri"/>
        <family val="2"/>
      </rPr>
      <t>Echtzeit-Datenpipelines für GenAI-Anwendungen</t>
    </r>
    <r>
      <rPr>
        <sz val="11"/>
        <rFont val="Calibri"/>
        <family val="2"/>
      </rPr>
      <t>. Die vorgeschlagene Architektur umfasst Datenerfassung, Verarbeitung (Flink/Spark Streaming), Vector Database und Model Serving. Behandelt Herausforderungen wie Data Freshness und Skalierbarkeit. </t>
    </r>
  </si>
  <si>
    <t>RQ1: Mittel, RQ2: Stark, RQ3: Stark </t>
  </si>
  <si>
    <t>2025, Sudip Poudel </t>
  </si>
  <si>
    <r>
      <t>Long Short-Term Memory (LSTM)</t>
    </r>
    <r>
      <rPr>
        <sz val="11"/>
        <rFont val="Calibri"/>
        <family val="2"/>
      </rPr>
      <t> neuronale Netzwerke für prädiktives Auto-Scaling. </t>
    </r>
  </si>
  <si>
    <r>
      <t>Cloud Resource Optimization, </t>
    </r>
    <r>
      <rPr>
        <b/>
        <sz val="11"/>
        <rFont val="Calibri"/>
        <family val="2"/>
      </rPr>
      <t>AWS (EC2, RDS)</t>
    </r>
    <r>
      <rPr>
        <sz val="11"/>
        <rFont val="Calibri"/>
        <family val="2"/>
      </rPr>
      <t>, </t>
    </r>
    <r>
      <rPr>
        <b/>
        <sz val="11"/>
        <rFont val="Calibri"/>
        <family val="2"/>
      </rPr>
      <t>Kubernetes</t>
    </r>
    <r>
      <rPr>
        <sz val="11"/>
        <rFont val="Calibri"/>
        <family val="2"/>
      </rPr>
      <t> (Containerized Infrastructures). </t>
    </r>
  </si>
  <si>
    <r>
      <t>Entwicklung eines </t>
    </r>
    <r>
      <rPr>
        <b/>
        <sz val="11"/>
        <rFont val="Calibri"/>
        <family val="2"/>
      </rPr>
      <t>prädiktiven Auto-Scaling-Frameworks</t>
    </r>
    <r>
      <rPr>
        <sz val="11"/>
        <rFont val="Calibri"/>
        <family val="2"/>
      </rPr>
      <t> unter Verwendung von LSTM. Das System prognostiziert den Ressourcenbedarf (CPU, Memory, I/O) und automatisiert Skalierungsaktionen. Ergebnisse: </t>
    </r>
    <r>
      <rPr>
        <b/>
        <sz val="11"/>
        <rFont val="Calibri"/>
        <family val="2"/>
      </rPr>
      <t>Kostensenkung</t>
    </r>
    <r>
      <rPr>
        <sz val="11"/>
        <rFont val="Calibri"/>
        <family val="2"/>
      </rPr>
      <t> und verbesserte Performance. </t>
    </r>
  </si>
  <si>
    <t>RQ1: Sehr stark, RQ2: Stark, RQ3: Sehr stark </t>
  </si>
  <si>
    <t>2021, Jeanette Uddoh </t>
  </si>
  <si>
    <r>
      <t>KI-basierte Bedrohungserkennung: Machine Learning, Deep Learning (CNNs), </t>
    </r>
    <r>
      <rPr>
        <b/>
        <sz val="11"/>
        <rFont val="Calibri"/>
        <family val="2"/>
      </rPr>
      <t>Behavioral Analytics</t>
    </r>
    <r>
      <rPr>
        <sz val="11"/>
        <rFont val="Calibri"/>
        <family val="2"/>
      </rPr>
      <t>, </t>
    </r>
    <r>
      <rPr>
        <b/>
        <sz val="11"/>
        <rFont val="Calibri"/>
        <family val="2"/>
      </rPr>
      <t>Föderiertes Lernen</t>
    </r>
    <r>
      <rPr>
        <sz val="11"/>
        <rFont val="Calibri"/>
        <family val="2"/>
      </rPr>
      <t>, Explainable AI (SHAP), </t>
    </r>
    <r>
      <rPr>
        <b/>
        <sz val="11"/>
        <rFont val="Calibri"/>
        <family val="2"/>
      </rPr>
      <t>Reinforcement Learning</t>
    </r>
    <r>
      <rPr>
        <sz val="11"/>
        <rFont val="Calibri"/>
        <family val="2"/>
      </rPr>
      <t> (für automatisierte Reaktion). </t>
    </r>
  </si>
  <si>
    <r>
      <t>Cloud Infrastructure Security</t>
    </r>
    <r>
      <rPr>
        <sz val="11"/>
        <rFont val="Calibri"/>
        <family val="2"/>
      </rPr>
      <t>, Cybersicherheit, Multi-Tenant Architekturen. </t>
    </r>
  </si>
  <si>
    <r>
      <t>Vorschlag einer skalierbaren AI-Architektur für </t>
    </r>
    <r>
      <rPr>
        <b/>
        <sz val="11"/>
        <rFont val="Calibri"/>
        <family val="2"/>
      </rPr>
      <t>Bedrohungserkennung in der Cloud</t>
    </r>
    <r>
      <rPr>
        <sz val="11"/>
        <rFont val="Calibri"/>
        <family val="2"/>
      </rPr>
      <t>. Erreichte 95% Genauigkeit, 20% weniger False Positives. Komponenten: Echtzeit-Datenaufnahme, Anomalieerkennung, Bedrohungsklassifizierung, </t>
    </r>
    <r>
      <rPr>
        <b/>
        <sz val="11"/>
        <rFont val="Calibri"/>
        <family val="2"/>
      </rPr>
      <t>Automatisierte Reaktion</t>
    </r>
    <r>
      <rPr>
        <sz val="11"/>
        <rFont val="Calibri"/>
        <family val="2"/>
      </rPr>
      <t>. </t>
    </r>
  </si>
  <si>
    <t>2024, Venkata Mohit Tamanampudi </t>
  </si>
  <si>
    <r>
      <t>KI/ML in CI/CD Pipelines: Prädiktive Modelle (Decision Trees, Neural Networks), Anomalieerkennungsalgorithmen, </t>
    </r>
    <r>
      <rPr>
        <b/>
        <sz val="11"/>
        <rFont val="Calibri"/>
        <family val="2"/>
      </rPr>
      <t>Reinforcement Learning (RL)</t>
    </r>
    <r>
      <rPr>
        <sz val="11"/>
        <rFont val="Calibri"/>
        <family val="2"/>
      </rPr>
      <t> (z.B. Q-Learning). </t>
    </r>
  </si>
  <si>
    <r>
      <t>Agile Software Development</t>
    </r>
    <r>
      <rPr>
        <sz val="11"/>
        <rFont val="Calibri"/>
        <family val="2"/>
      </rPr>
      <t>, </t>
    </r>
    <r>
      <rPr>
        <b/>
        <sz val="11"/>
        <rFont val="Calibri"/>
        <family val="2"/>
      </rPr>
      <t>CI/CD Pipelines</t>
    </r>
    <r>
      <rPr>
        <sz val="11"/>
        <rFont val="Calibri"/>
        <family val="2"/>
      </rPr>
      <t>, Deployment Strategien (Blue-Green, Canary), E-Commerce, Finanzdienstleistungen. </t>
    </r>
  </si>
  <si>
    <r>
      <t>KI-gestützte Strategien für: </t>
    </r>
    <r>
      <rPr>
        <b/>
        <sz val="11"/>
        <rFont val="Calibri"/>
        <family val="2"/>
      </rPr>
      <t>Prädiktive Fehlererkennung</t>
    </r>
    <r>
      <rPr>
        <sz val="11"/>
        <rFont val="Calibri"/>
        <family val="2"/>
      </rPr>
      <t> (zur Vorbeugung von Build/Deployment-Fehlern). </t>
    </r>
    <r>
      <rPr>
        <b/>
        <sz val="11"/>
        <rFont val="Calibri"/>
        <family val="2"/>
      </rPr>
      <t>Automatisierte Rollbacks</t>
    </r>
    <r>
      <rPr>
        <sz val="11"/>
        <rFont val="Calibri"/>
        <family val="2"/>
      </rPr>
      <t> (mittels Anomalieerkennung, Reduktion der Downtime um 30%). </t>
    </r>
    <r>
      <rPr>
        <b/>
        <sz val="11"/>
        <rFont val="Calibri"/>
        <family val="2"/>
      </rPr>
      <t>Adaptive Deployment-Strategien</t>
    </r>
    <r>
      <rPr>
        <sz val="11"/>
        <rFont val="Calibri"/>
        <family val="2"/>
      </rPr>
      <t> (dynamische Anpassung basierend auf Echtzeit-KPIs wie Latenz). </t>
    </r>
  </si>
  <si>
    <t>2025, Vijay Govindrajan </t>
  </si>
  <si>
    <r>
      <t>Klassische ML-Klassifikatoren (</t>
    </r>
    <r>
      <rPr>
        <b/>
        <sz val="11"/>
        <rFont val="Calibri"/>
        <family val="2"/>
      </rPr>
      <t>Decision Tree, Random Forest, XGBoost</t>
    </r>
    <r>
      <rPr>
        <sz val="11"/>
        <rFont val="Calibri"/>
        <family val="2"/>
      </rPr>
      <t>). Hyperparameter-Optimierung zur Behandlung von </t>
    </r>
    <r>
      <rPr>
        <i/>
        <sz val="11"/>
        <rFont val="Calibri"/>
        <family val="2"/>
      </rPr>
      <t>Imbalanced Data</t>
    </r>
    <r>
      <rPr>
        <sz val="11"/>
        <rFont val="Calibri"/>
        <family val="2"/>
      </rPr>
      <t>. </t>
    </r>
  </si>
  <si>
    <r>
      <t>Cloud Environment Security</t>
    </r>
    <r>
      <rPr>
        <sz val="11"/>
        <rFont val="Calibri"/>
        <family val="2"/>
      </rPr>
      <t>, Intrusion Detection System (IDS), Netzwerke. </t>
    </r>
  </si>
  <si>
    <r>
      <t>ML zur </t>
    </r>
    <r>
      <rPr>
        <b/>
        <sz val="11"/>
        <rFont val="Calibri"/>
        <family val="2"/>
      </rPr>
      <t>effektiven Erkennung von Angriffen (Intrusion Detection)</t>
    </r>
    <r>
      <rPr>
        <sz val="11"/>
        <rFont val="Calibri"/>
        <family val="2"/>
      </rPr>
      <t> in Cloud-Umgebungen. DT, RF und XGBoost erzielten 100% Genauigkeit auf unausgewogenen Datensätzen. Use Case: DDoS-Erkennung im Cloud-Netzwerk. </t>
    </r>
  </si>
  <si>
    <t>RQ1: Stark, RQ2: Mittel, RQ3: Mittel </t>
  </si>
  <si>
    <t>2024, Abhishek Gupta </t>
  </si>
  <si>
    <t>Cloud-Native ML (Integration von ML/AI in Cloud-First-Infrastrukturen). Techniken: Containerisierung, Microservices, Serverless (AWS Lambda), Feature Stores (Feast), verteilte Frameworks (TensorFlow, PyTorch). </t>
  </si>
  <si>
    <t>Cloud-First Infrastrukturen, AWS, Google Cloud, Microsoft Azure, Data Pipelines, ML Inference Services. </t>
  </si>
  <si>
    <r>
      <t>Architektur und Evaluation von Cloud-Native ML Lösungen, fokussiert auf Skalierbarkeit, Kosten und Leistung. Ergebnisse zeigen </t>
    </r>
    <r>
      <rPr>
        <b/>
        <sz val="11"/>
        <rFont val="Calibri"/>
        <family val="2"/>
      </rPr>
      <t>niedrigere Latenz bei Real-Time Inference (50 ms)</t>
    </r>
    <r>
      <rPr>
        <sz val="11"/>
        <rFont val="Calibri"/>
        <family val="2"/>
      </rPr>
      <t>. Betont die Rolle von </t>
    </r>
    <r>
      <rPr>
        <b/>
        <sz val="11"/>
        <rFont val="Calibri"/>
        <family val="2"/>
      </rPr>
      <t>Data Pipelines (Kafka)</t>
    </r>
    <r>
      <rPr>
        <sz val="11"/>
        <rFont val="Calibri"/>
        <family val="2"/>
      </rPr>
      <t> und Feature Stores. </t>
    </r>
  </si>
  <si>
    <t>RQ1: Stark, RQ2: Stark, RQ3: Sehr stark </t>
  </si>
  <si>
    <t>2021, István Pölöskei </t>
  </si>
  <si>
    <r>
      <t>MLOps Ansatz</t>
    </r>
    <r>
      <rPr>
        <sz val="11"/>
        <rFont val="Calibri"/>
        <family val="2"/>
      </rPr>
      <t>, Deep Learning (DL), Klassische ML, </t>
    </r>
    <r>
      <rPr>
        <b/>
        <sz val="11"/>
        <rFont val="Calibri"/>
        <family val="2"/>
      </rPr>
      <t>TensorFlow Extended (TFX)</t>
    </r>
    <r>
      <rPr>
        <sz val="11"/>
        <rFont val="Calibri"/>
        <family val="2"/>
      </rPr>
      <t>. </t>
    </r>
  </si>
  <si>
    <r>
      <t>Cloud-Native Data Pipeline Design</t>
    </r>
    <r>
      <rPr>
        <sz val="11"/>
        <rFont val="Calibri"/>
        <family val="2"/>
      </rPr>
      <t>, Kubernetes, Kubeflow, TensorFlow. </t>
    </r>
  </si>
  <si>
    <r>
      <t>Fokus auf MLOps-Ansatz im Cloud-Native-Kontext zur Eliminierung von Personal- und Technologie-Lücken. </t>
    </r>
    <r>
      <rPr>
        <b/>
        <sz val="11"/>
        <rFont val="Calibri"/>
        <family val="2"/>
      </rPr>
      <t>TFX</t>
    </r>
    <r>
      <rPr>
        <sz val="11"/>
        <rFont val="Calibri"/>
        <family val="2"/>
      </rPr>
      <t> wird als das modernste DL- und MLOps-Framework in der Cloud-Native-Umgebung beschrieben. </t>
    </r>
  </si>
  <si>
    <t>RQ1: Mittel, RQ2: Sehr stark, RQ3: Stark </t>
  </si>
  <si>
    <t>2023, Kreuzberger et al. </t>
  </si>
  <si>
    <r>
      <t>MLOps</t>
    </r>
    <r>
      <rPr>
        <sz val="11"/>
        <rFont val="Calibri"/>
        <family val="2"/>
      </rPr>
      <t> (Machine Learning Operations) Prinzipien und Architektur. Einsatz von ML (TensorFlow, PyTorch), Workflow-Orchestrierung (Airflow, Kubeflow). </t>
    </r>
  </si>
  <si>
    <r>
      <t>MLOps/Data Engineering Pipelines, </t>
    </r>
    <r>
      <rPr>
        <b/>
        <sz val="11"/>
        <rFont val="Calibri"/>
        <family val="2"/>
      </rPr>
      <t>CI/CD</t>
    </r>
    <r>
      <rPr>
        <sz val="11"/>
        <rFont val="Calibri"/>
        <family val="2"/>
      </rPr>
      <t>, Cloud-Infrastruktur (AWS SageMaker, Azure ML, GCP Vertex AI, Kubernetes). </t>
    </r>
  </si>
  <si>
    <r>
      <t>MLOps als Paradigma zur </t>
    </r>
    <r>
      <rPr>
        <b/>
        <sz val="11"/>
        <rFont val="Calibri"/>
        <family val="2"/>
      </rPr>
      <t>Steuerung, Verwaltung und Automatisierung des gesamten ML-Systems in der Produktion</t>
    </r>
    <r>
      <rPr>
        <sz val="11"/>
        <rFont val="Calibri"/>
        <family val="2"/>
      </rPr>
      <t>. Die Architektur umfasst Schlüsselkomponenten wie CI/CD-Pipeline, Feature Store, Model Registry und Monitoring. </t>
    </r>
  </si>
  <si>
    <t>2023, Vijay Kartik Sikha </t>
  </si>
  <si>
    <r>
      <t>KI-gestützte CI/CD Pipelines</t>
    </r>
    <r>
      <rPr>
        <sz val="11"/>
        <rFont val="Calibri"/>
        <family val="2"/>
      </rPr>
      <t>, Automatisierte Code-Generierung, Prädiktive Fehlererkennung, KI-optimierte Deployment-Strategien, KI-basiertes Testing. </t>
    </r>
  </si>
  <si>
    <r>
      <t>Cloud-Native App Development, </t>
    </r>
    <r>
      <rPr>
        <b/>
        <sz val="11"/>
        <rFont val="Calibri"/>
        <family val="2"/>
      </rPr>
      <t>CI/CD Pipelines</t>
    </r>
    <r>
      <rPr>
        <sz val="11"/>
        <rFont val="Calibri"/>
        <family val="2"/>
      </rPr>
      <t>, Kubernetes, Microservices, AWS (EKS, RDS, ElasticSearch), BigQuery, MongoDB. </t>
    </r>
  </si>
  <si>
    <r>
      <t>Automatisierte Code-Generierung</t>
    </r>
    <r>
      <rPr>
        <sz val="11"/>
        <rFont val="Calibri"/>
        <family val="2"/>
      </rPr>
      <t> (z.B. OpenAICodePilot/GitHub Copilot). KI-gestützte CI/CD-Pipelines reduzieren manuelle Eingriffe und erhöhen die Zuverlässigkeit. Walmart Case Study: Implementierung einer Cloud-Native CI/CD Pipeline mit KI für Code Review und Testing. </t>
    </r>
  </si>
  <si>
    <t>RQ1: Stark, RQ2: Stark, RQ3: Stark </t>
  </si>
  <si>
    <t xml:space="preserve">2022 
Georgios Symeonidis
</t>
  </si>
  <si>
    <t>2025 
Karthik Puthraya</t>
  </si>
  <si>
    <t>Cloud-native architecture, predictive modeling, MLOps, microservices, real-time inference, serverless computing. </t>
  </si>
  <si>
    <t>AI/ML, Artificial Intelligence, Machine Learning, DevOps automation, Kubernetes Cluster. </t>
  </si>
  <si>
    <t>AI-driven DevOps, Machine Learning, Automated Software Deployment, Predictive Analytics. </t>
  </si>
  <si>
    <t>Generative AI, DevOps, Automation, CI/CD, Kubernetes, Docker, AI Agents. </t>
  </si>
  <si>
    <t>Artificial Intelligence, Continuous Integration (CI), Continuous Delivery (CD), Infrastructure Management. </t>
  </si>
  <si>
    <r>
      <t>Cloud-Native applications, microservices, containerization, </t>
    </r>
    <r>
      <rPr>
        <sz val="11"/>
        <rFont val="Calibri"/>
        <family val="2"/>
      </rPr>
      <t>generative AI tools, automated code generation, AI integration. </t>
    </r>
  </si>
  <si>
    <r>
      <t>CI/CD, </t>
    </r>
    <r>
      <rPr>
        <sz val="11"/>
        <rFont val="Calibri"/>
        <family val="2"/>
      </rPr>
      <t>MLOps, workflow orchestration, machine learning. </t>
    </r>
  </si>
  <si>
    <r>
      <t>MLOps, </t>
    </r>
    <r>
      <rPr>
        <sz val="11"/>
        <rFont val="Calibri"/>
        <family val="2"/>
      </rPr>
      <t>cloud-native, data pipeline, machine learning. </t>
    </r>
  </si>
  <si>
    <r>
      <t>Decision tree, Random Forest, </t>
    </r>
    <r>
      <rPr>
        <sz val="11"/>
        <rFont val="Calibri"/>
        <family val="2"/>
      </rPr>
      <t>IDS, Boosting, classification. </t>
    </r>
  </si>
  <si>
    <r>
      <t>Cloud-native architectures</t>
    </r>
    <r>
      <rPr>
        <sz val="11"/>
        <rFont val="Calibri"/>
        <family val="2"/>
      </rPr>
      <t>, machine learning, AI-driven decision-making, scalability, real-time inference. </t>
    </r>
  </si>
  <si>
    <r>
      <t>AI-enhanced CI/CD pipelines, </t>
    </r>
    <r>
      <rPr>
        <sz val="11"/>
        <rFont val="Calibri"/>
        <family val="2"/>
      </rPr>
      <t>predictive failure detection, automated rollbacks, adaptive deployment strategies. </t>
    </r>
  </si>
  <si>
    <r>
      <t>AI-Based Threat Detection</t>
    </r>
    <r>
      <rPr>
        <sz val="11"/>
        <rFont val="Calibri"/>
        <family val="2"/>
      </rPr>
      <t>, Cloud Security, Cybersecurity Architecture, Anomaly Detection, Real-Time Threat Mitigation. </t>
    </r>
  </si>
  <si>
    <r>
      <t>AWS, </t>
    </r>
    <r>
      <rPr>
        <sz val="11"/>
        <rFont val="Calibri"/>
        <family val="2"/>
      </rPr>
      <t>EC2, LSTM, RDS, SDK. </t>
    </r>
  </si>
  <si>
    <r>
      <t>Generative AI</t>
    </r>
    <r>
      <rPr>
        <sz val="11"/>
        <rFont val="Calibri"/>
        <family val="2"/>
      </rPr>
      <t>, Real-time Data Pipelines, Vector Databases, Retrieval-Augmented Generation (RAG). </t>
    </r>
  </si>
  <si>
    <r>
      <t>DevOps</t>
    </r>
    <r>
      <rPr>
        <sz val="11"/>
        <rFont val="Calibri"/>
        <family val="2"/>
      </rPr>
      <t>, Artificial intelligence (AI), Continuous delivery, Cloud computing, Cultural transformation. </t>
    </r>
  </si>
  <si>
    <r>
      <t>AI in DevOps</t>
    </r>
    <r>
      <rPr>
        <sz val="11"/>
        <rFont val="Calibri"/>
        <family val="2"/>
      </rPr>
      <t>, cloud automation, machine learning in DevOps, Azure DevOps, AI-driven software development. </t>
    </r>
  </si>
  <si>
    <t xml:space="preserve">Wichtige Ergebnisse / Use Cases </t>
  </si>
  <si>
    <t>Kategorie</t>
  </si>
  <si>
    <t>Metrik / Bewertungsfokus</t>
  </si>
  <si>
    <t>Relevante Paper IDs (Beispiele)</t>
  </si>
  <si>
    <t>i. Effizienz &amp; Kosten</t>
  </si>
  <si>
    <t>P10, P14, P25, P21</t>
  </si>
  <si>
    <t>ii. Performance &amp; Zuverlässigkeit</t>
  </si>
  <si>
    <t>Latency, Uptime, Skalierbarkeit (RPS - Requests per Second), Reduzierung von MTTD/MTTR, Deployment Success Rate.</t>
  </si>
  <si>
    <t>iii. Validierung &amp; Empirik</t>
  </si>
  <si>
    <t>iv. Transparenz &amp; Auditierbarkeit</t>
  </si>
  <si>
    <r>
      <t xml:space="preserve">Kostenreduzierung (z.B. 30–50% im Cloud-Native ML), GPU/TPU-Auslastung, Time-to-Market, </t>
    </r>
    <r>
      <rPr>
        <b/>
        <sz val="11"/>
        <rFont val="Aptos Narrow"/>
        <family val="2"/>
        <scheme val="minor"/>
      </rPr>
      <t>Operational Cost Reduction</t>
    </r>
    <r>
      <rPr>
        <sz val="11"/>
        <rFont val="Aptos Narrow"/>
        <family val="2"/>
        <scheme val="minor"/>
      </rPr>
      <t>.</t>
    </r>
  </si>
  <si>
    <r>
      <t xml:space="preserve">Nutzung von </t>
    </r>
    <r>
      <rPr>
        <b/>
        <sz val="11"/>
        <rFont val="Aptos Narrow"/>
        <family val="2"/>
        <scheme val="minor"/>
      </rPr>
      <t>Real-World-Daten</t>
    </r>
    <r>
      <rPr>
        <sz val="11"/>
        <rFont val="Aptos Narrow"/>
        <family val="2"/>
        <scheme val="minor"/>
      </rPr>
      <t xml:space="preserve"> oder </t>
    </r>
    <r>
      <rPr>
        <b/>
        <sz val="11"/>
        <rFont val="Aptos Narrow"/>
        <family val="2"/>
        <scheme val="minor"/>
      </rPr>
      <t>Expertenurteilen</t>
    </r>
    <r>
      <rPr>
        <sz val="11"/>
        <rFont val="Aptos Narrow"/>
        <family val="2"/>
        <scheme val="minor"/>
      </rPr>
      <t xml:space="preserve"> (z.B. Experten-Relevanz-Scores) zur Bestätigung der Praktikabilität.</t>
    </r>
  </si>
  <si>
    <r>
      <t>Fokus auf Erklärbarkeit (</t>
    </r>
    <r>
      <rPr>
        <b/>
        <sz val="11"/>
        <rFont val="Aptos Narrow"/>
        <family val="2"/>
        <scheme val="minor"/>
      </rPr>
      <t>Explainable AI - XAI</t>
    </r>
    <r>
      <rPr>
        <sz val="11"/>
        <rFont val="Aptos Narrow"/>
        <family val="2"/>
        <scheme val="minor"/>
      </rPr>
      <t>), Traceability und Einhaltung ethischer Richtlinien (Fairness, Bias).</t>
    </r>
  </si>
  <si>
    <t>Unterkategorie</t>
  </si>
  <si>
    <t>CI/CD Automatisierung &amp; Pipeline-Optimierung</t>
  </si>
  <si>
    <t>Ressourcen- &amp; Workload-Optimierung</t>
  </si>
  <si>
    <t>Automatisierte Qualitätssicherung &amp; Tests</t>
  </si>
  <si>
    <t>Self-Healing / Predictive Maintenance</t>
  </si>
  <si>
    <t>KI-Technologien (Tools &amp; Frameworks)</t>
  </si>
  <si>
    <t>ML/DL Frameworks &amp; Bibliotheken</t>
  </si>
  <si>
    <t>Monitoring &amp; Observability</t>
  </si>
  <si>
    <t>-</t>
  </si>
  <si>
    <t>Deep Learning (DL) / Neuronale Netze</t>
  </si>
  <si>
    <t>Autoscaling / Orchestrierung</t>
  </si>
  <si>
    <t>Anwendungsfeld (Use Case)</t>
  </si>
  <si>
    <t>Formen des maschinellen Lernens (Lernparadigmen)</t>
  </si>
  <si>
    <t>Algorithmen &amp; Mechanismen</t>
  </si>
  <si>
    <t>Sicherheits- &amp; Bedrohungserkennung</t>
  </si>
  <si>
    <t>IaC Automatisierung</t>
  </si>
  <si>
    <t>P1, P2, P3, P4, P5, P11, P16, P25</t>
  </si>
  <si>
    <t>P1, P2, P3, P4, P5, P11, P18</t>
  </si>
  <si>
    <t>P1, P2, P3, P4, P5, P11, P16, P18</t>
  </si>
  <si>
    <t>P1, P2, P3, P4, P5, P18, P23, P25</t>
  </si>
  <si>
    <t>P1, P2, P3, P4, P5, P15, P18</t>
  </si>
  <si>
    <t>P1, P2, P3, P4, P5, P15, P18, P19</t>
  </si>
  <si>
    <t>P1, P2, P3, P4, P5, P11, P24</t>
  </si>
  <si>
    <t>P1, P2, P3, P4, P5, P11</t>
  </si>
  <si>
    <t>P1, P2, P3, P4, P5, P15, P19</t>
  </si>
  <si>
    <t>P1, P2, P3, P4, P5, P18, P19</t>
  </si>
  <si>
    <t>P1, P2, P3, P4, P5</t>
  </si>
  <si>
    <t>Computing in the Era of Large Generative Models: From Cloud-Native to AI-Native</t>
  </si>
  <si>
    <t>Rückwärts aus P1</t>
  </si>
  <si>
    <t>Zaalouk et al.</t>
  </si>
  <si>
    <t>Cloud Native Artifical Intelligence</t>
  </si>
  <si>
    <t>Raus: P3, P4, P5, P15, P16, P15, P19, P20, P21</t>
  </si>
  <si>
    <t>Rückwärts aus P3</t>
  </si>
  <si>
    <t>Vorwärts aus P17</t>
  </si>
  <si>
    <t>P18 = P3
P19 =  P20
P25 = P19</t>
  </si>
  <si>
    <t>P2 (Amgothu &amp; Kankanala)</t>
  </si>
  <si>
    <t>P3 (Enemosah)</t>
  </si>
  <si>
    <t>P4 (Zaalouk et al.)</t>
  </si>
  <si>
    <t>P12 (Kathiresan)</t>
  </si>
  <si>
    <t>P18 (Amte)</t>
  </si>
  <si>
    <t>RL zur Optimierung der Ressourcenzuteilung in Echtzeit.</t>
  </si>
  <si>
    <t>Anomalie-Erkennung zur Reduzierung von unerwarteten Fehlern.</t>
  </si>
  <si>
    <t>TensorFlow, PyTorch.</t>
  </si>
  <si>
    <t>TensorFlow, PyTorch, Scikit-learn.</t>
  </si>
  <si>
    <t>Jenkins ML-Plugins.</t>
  </si>
  <si>
    <t>TFX, MLFlow, Kubeflow.</t>
  </si>
  <si>
    <t>Prometheus, Grafana.</t>
  </si>
  <si>
    <t>GCP.</t>
  </si>
  <si>
    <t>AWS (EKS).</t>
  </si>
  <si>
    <t>CNNs, RNNs.</t>
  </si>
  <si>
    <t>Deep Learning Modelle.</t>
  </si>
  <si>
    <t>Neuronale Netze (Deep Learning), CNNs.</t>
  </si>
  <si>
    <t>Convolutional Neural Networks (CNNs), Transformer.</t>
  </si>
  <si>
    <t>CNN und LSTM Modelle.</t>
  </si>
  <si>
    <t>RL zur dynamischen Entscheidungsfindung bei Workload-Management.</t>
  </si>
  <si>
    <t>Predictive Maintenance.</t>
  </si>
  <si>
    <t>Prometheus, Grafana, ELK Stack.</t>
  </si>
  <si>
    <t>Prometheus, Grafana, IBM Watson AI, Microsoft Sentinel.</t>
  </si>
  <si>
    <t>OpenTelemetry, Prometheus.</t>
  </si>
  <si>
    <t>ML ermöglicht Predictive Maintenance.</t>
  </si>
  <si>
    <t>Kubernetes HPA (AI-driven autoscaling).</t>
  </si>
  <si>
    <t>Automated Workflow Orchestration (54% Adoption).</t>
  </si>
  <si>
    <t>Kubernetes (P1, P4, P19, P20), Docker (P1, P19).</t>
  </si>
  <si>
    <t>P1 (Bajwa)</t>
  </si>
  <si>
    <t>Prädiktive Modelle reduzieren Build Failures.</t>
  </si>
  <si>
    <t>ML/AI beschleunigt Identifizierung von Sicherheitslücken.</t>
  </si>
  <si>
    <t>Prädiktive Modelle (ML/AI) zur Fehlerprognose. RL für Rückrollmechanismen.</t>
  </si>
  <si>
    <t>Serverless Inference Endpoints zur Latenzreduzierung.</t>
  </si>
  <si>
    <t>KI/ML in CI/CD zur Reduzierung der Deployment-Zeit um 30%. Jenkins X Nutzung. Prädiktive Modelle (Fehlerprognose).</t>
  </si>
  <si>
    <t>AI-gesteuertes Autoscaling (HPA) reduziert Ressourcenverschwendung um 20%.</t>
  </si>
  <si>
    <t>Herausforderungen</t>
  </si>
  <si>
    <t>Anwendungsfelder</t>
  </si>
  <si>
    <t>LLMs (Large Language Models), GPT.</t>
  </si>
  <si>
    <t>MLOps Tools &amp; Orchestrierung</t>
  </si>
  <si>
    <t>Jenkins X, Helm Charts.</t>
  </si>
  <si>
    <t>AI-gesteuertes Monitoring.</t>
  </si>
  <si>
    <t>Dateninfrastruktur (Vektordatenbanken)</t>
  </si>
  <si>
    <t>Cloud-Dienste / Spezial-Hardware</t>
  </si>
  <si>
    <t>AWS SageMaker / Google AI Platform.</t>
  </si>
  <si>
    <t>AWS, Azure, GCP. GPU-Ressourcenmanagement (DRA).</t>
  </si>
  <si>
    <t>AWS, Azure, Google Cloud; Serverless AI.</t>
  </si>
  <si>
    <t>AWS Lambda und Google Cloud Functions (Serverless).</t>
  </si>
  <si>
    <t>Generative AI (GenAI) / LLMs</t>
  </si>
  <si>
    <t>Prädiktive Analytik / DL (Predictive AI)</t>
  </si>
  <si>
    <t>Prädiktive Modelle zur Vorhersage von Fehlern.</t>
  </si>
  <si>
    <t>Unterscheidung von GenAI.</t>
  </si>
  <si>
    <t>Deep Learning spielt Schlüsselrolle für Security.</t>
  </si>
  <si>
    <t>Reinforcement Learning (RL) / Adaptive Systeme</t>
  </si>
  <si>
    <t>RL zur Behandlung hochdynamischer Umgebungen.</t>
  </si>
  <si>
    <t>Ensemble Methods &amp; Spezifische Algorithmen</t>
  </si>
  <si>
    <t>Diskriminative AI.</t>
  </si>
  <si>
    <t>Ensemble Methods (XGBoost, Random Forest), BERT.</t>
  </si>
  <si>
    <t>Autoscaling unterstützt.</t>
  </si>
  <si>
    <t>Automated Workflow Orchestration.</t>
  </si>
  <si>
    <t>Kubeflow, MLFlow, Jenkins, Istio.</t>
  </si>
  <si>
    <t>Kubeflow, MLFlow, Ray, KubeRay, Istio.</t>
  </si>
  <si>
    <t>Vektor-Datenbanken (für RAG-Architektur).</t>
  </si>
  <si>
    <t>Generative AI unterscheidet sich von Predictive AI. Large Language Models (LLMs) (GPT).</t>
  </si>
  <si>
    <t>Fokus auf Predictive Modeling.</t>
  </si>
  <si>
    <t>Kernanwendung: Predictive Analytics.</t>
  </si>
  <si>
    <t>RL zur Optimierung von Deployment- und Rückrollmechanismen.</t>
  </si>
  <si>
    <t>RL zur Optimierung des Cybersecurity-Testens.</t>
  </si>
  <si>
    <t>Ensemble Methods (XGBoost, Random Forest).</t>
  </si>
  <si>
    <t>Ensemble Methods (XGBoost, Random Forest). SVM, K-Means Clustering, Autoencoder.</t>
  </si>
  <si>
    <t>AI-gesteuerte Autoscaling-Mechanismen, Kubernetes HPA.</t>
  </si>
  <si>
    <t>Dynamic Resource Allocation (DRA), Kubeflow/Istio/Ray für Orchestrierung.</t>
  </si>
  <si>
    <t>Auto-scaling.</t>
  </si>
  <si>
    <t>Lernformen &amp; Mechanismen</t>
  </si>
  <si>
    <t>P5 (Sikha)</t>
  </si>
  <si>
    <t>P6 (Kreuzberger et al.)</t>
  </si>
  <si>
    <t>P7 (Pölöskei)</t>
  </si>
  <si>
    <t>P9 (Gupta)</t>
  </si>
  <si>
    <t>P10 (Lu et al.)</t>
  </si>
  <si>
    <t>P11 (Xu et al.)</t>
  </si>
  <si>
    <t>P13 (Uddoh)</t>
  </si>
  <si>
    <t>P14 (Poudel)</t>
  </si>
  <si>
    <t>P15 (Tamanampudi)</t>
  </si>
  <si>
    <t>P16 (Gopireddy)</t>
  </si>
  <si>
    <t>P17 (Pattanayak)</t>
  </si>
  <si>
    <t>Pipeline-Design zur Reduzierung manueller Fehler und Überstunden.</t>
  </si>
  <si>
    <t>GPU-basierte Pipelines werden zur Ressourcennutzung empfohlen.</t>
  </si>
  <si>
    <t>TensorFlow, PyTorch, Scikit-learn (implizit).</t>
  </si>
  <si>
    <t>TensorFlow.</t>
  </si>
  <si>
    <t>TensorFlow, PyTorch (für große Modelle).</t>
  </si>
  <si>
    <t>Entscheidungsbäume, Random Forests, Neuronale Netze.</t>
  </si>
  <si>
    <t>Kubernetes. AI-Driven Tools.</t>
  </si>
  <si>
    <t>Kubernetes, Spark, Hive, Kafka.</t>
  </si>
  <si>
    <t>Monitoring Mechanismen.</t>
  </si>
  <si>
    <t>Monitoring der Pipeline.</t>
  </si>
  <si>
    <t>Observability und Health Checks.</t>
  </si>
  <si>
    <t>AWS CloudWatch zur Metriksammlung.</t>
  </si>
  <si>
    <t>Monitoring von KPIs (Latenz, Error Rates, Resource Usage).</t>
  </si>
  <si>
    <t>Monitoring und Feedback Loops.</t>
  </si>
  <si>
    <t>PostgreSQL, MongoDB, Google BigQuery.</t>
  </si>
  <si>
    <t>Feature Store (Speicherung von Features).</t>
  </si>
  <si>
    <t>Feature Stores.</t>
  </si>
  <si>
    <t>AWS (Kubernetes, RDS, ElasticSearch), Microsoft Azure (Cosmos DB).</t>
  </si>
  <si>
    <t>GPU/TPU-Instanzen.</t>
  </si>
  <si>
    <t>GPU-Ressourcen.</t>
  </si>
  <si>
    <t>Edge, Fog, Cloud Computing als Infrastruktur.</t>
  </si>
  <si>
    <t>Cloud Infrastructure. Edge Computing.</t>
  </si>
  <si>
    <t>Cloud-Native Infrastruktur.</t>
  </si>
  <si>
    <t>Predictive capabilities (Predictive Failure, Downtime).</t>
  </si>
  <si>
    <t>Deep Learning Netzwerke.</t>
  </si>
  <si>
    <t>Deep Learning.</t>
  </si>
  <si>
    <t>Deep Learning (zukünftig erwartet).</t>
  </si>
  <si>
    <t>RL zur kontinuierlichen Anpassung (zukünftige Forschung).</t>
  </si>
  <si>
    <t>Ensemble Methods (Decision Trees, Random Forests).</t>
  </si>
  <si>
    <t>Kubernetes Orchestrierung.</t>
  </si>
  <si>
    <t>Dynamische Ressourcenzuweisung.</t>
  </si>
  <si>
    <t>Adaptive Deployment Strategies.</t>
  </si>
  <si>
    <t>Azure Machine Learning.</t>
  </si>
  <si>
    <t>Multidimensionale Performance-Metriken (Latenz, Durchsatz, Fehlerraten).</t>
  </si>
  <si>
    <t>Continuous Monitoring und Feedback Loops.</t>
  </si>
  <si>
    <t>AWS (EC2, RDS, CloudWatch).</t>
  </si>
  <si>
    <t>Generative AI (GenAI) wird für Cloud-Native-Anwendungen wichtig.</t>
  </si>
  <si>
    <t>Federated Learning als Zukunftstrend.</t>
  </si>
  <si>
    <t>Large Models (GPT-4) zur Verbesserung der Generalisierung.</t>
  </si>
  <si>
    <t>Federated Learning zur Wahrung der Privatsphäre.</t>
  </si>
  <si>
    <t>Prädiktive Analytik (Model Validation).</t>
  </si>
  <si>
    <t>Prädiktive Modelle zur Vorhersage von Workload-Trends.</t>
  </si>
  <si>
    <t>Predictive, AI-powered auto-scaling.</t>
  </si>
  <si>
    <t>Predictive Analytics zur Vorhersage von Ausfällen.</t>
  </si>
  <si>
    <t>Predictive Analytics ist ein Kernvorteil.</t>
  </si>
  <si>
    <t>Transformer Modelle für LLMs.</t>
  </si>
  <si>
    <t>LSTM Neural Networks.</t>
  </si>
  <si>
    <t>Reinforcement Learning (RL) zur Auswahl optimaler Minderungsstrategien.</t>
  </si>
  <si>
    <t>Reinforcement Learning (RL) für komplexe Modelle (zukünftig erwartet).</t>
  </si>
  <si>
    <t>Ensemble Methods (Boosted Trees). Lineare Regression, Genetic Algorithms (als Beispiele).</t>
  </si>
  <si>
    <t>Random Forests, Gradient-Boosting Machines.</t>
  </si>
  <si>
    <t>Workflow Orchestration.</t>
  </si>
  <si>
    <t>LMaaS (Large Model as a Service).</t>
  </si>
  <si>
    <t>AI-driven Auto-Scaling.</t>
  </si>
  <si>
    <t>AI-driven IaC (zukünftig erwartet).</t>
  </si>
  <si>
    <t>AI-Powered Automated Infrastructure (IaC).</t>
  </si>
  <si>
    <t>Kubeflow, MLFlow, Airflow. Feature Store, Model Registry sind Kernkomponenten.</t>
  </si>
  <si>
    <t>Kubeflow, TensorFlow Extended (TFX).</t>
  </si>
  <si>
    <t>Kubernetes, Docker, Apache Kafka, Apache Airflow, MLflow, Feast (Feature Store).</t>
  </si>
  <si>
    <t>Kubernetes Orchestration. Apache Kafka (Data Ingestion).</t>
  </si>
  <si>
    <t>Tools wie IntelliCode, DeepCode/Sider, Magalix, Spinnaker.</t>
  </si>
  <si>
    <t>Continuous Monitoring (Model Drift, Prediction Accuracy). Prometheus, Grafana (als Beispiele).</t>
  </si>
  <si>
    <t>Prometheus und Grafana für Echtzeit-Einblicke.</t>
  </si>
  <si>
    <t>Vector Databases für RAG-Architektur.</t>
  </si>
  <si>
    <t>AWS, Azure, GCP. Serverless (AWS Lambda, GCP Functions). GPU/TPU.</t>
  </si>
  <si>
    <t>High-End GPU Infrastruktur. Serverless Compute.</t>
  </si>
  <si>
    <t>Azure DevOps, Azure ML.</t>
  </si>
  <si>
    <t>Large Generative Models (LLMs) (GPT-4) und LMaaS / GAaaS.</t>
  </si>
  <si>
    <t>Continuous Training und Retraining.</t>
  </si>
  <si>
    <t>Predictive failure detection.</t>
  </si>
  <si>
    <t>TensorFlow und PyTorch zur Nutzung von Deep Learning.</t>
  </si>
  <si>
    <t>DL-Methoden (LSTM, CNN, DNN, GNN).</t>
  </si>
  <si>
    <t>Deep Learning, CNNs, Autoencoder (für Anomalie-Erkennung).</t>
  </si>
  <si>
    <t>Neuronale Netze, Autoencoder (für Rollbacks).</t>
  </si>
  <si>
    <t>Reinforcement Learning (RL), Deep Q Network (DQN), DDPG, Meta-RL.</t>
  </si>
  <si>
    <t>Reinforcement Learning (RL), Q-Learning, DQN, PPO, TRPO zur Rollback-Optimierung.</t>
  </si>
  <si>
    <t>Ensemble Methods (Decision Trees, Random Forests, Isolation Forests).</t>
  </si>
  <si>
    <t>HPA und VPA (Horizontal/Vertical Pod Autoscaler). Hybrid Scaling.</t>
  </si>
  <si>
    <t>AI-gesteuerte Orchestrierung (P20); Prädiktive Modelle zur Reduzierung von Build Failures (P2, P3, P15).</t>
  </si>
  <si>
    <t>Prädiktive Analytik (P3, P16); Reinforcement Learning (RL) zur Optimierung der Testausführung (P12).</t>
  </si>
  <si>
    <t>Microservices, Containerisierung (P19). Monitoring/Feedback Loops (P6, P16).</t>
  </si>
  <si>
    <t>Kubeflow (P1, P4, P19, P7), MLFlow (P1, P4, P19, P9), Jenkins (P1), Jenkins X (P2), TFX (P19, P7), Helm Charts (P2), IntelliCode, Kite, DeepCode/Sider (P17), Azure ML (P16).</t>
  </si>
  <si>
    <t>Deep Learning (P2, P7) zur Fehlerprognose; Nutzung von RL zur Deployment-Optimierung (P3, P15); Predictive Analytics (P3, P12, P16); Unsupervised Learning (P15) zur Rollback-Auslösung.</t>
  </si>
  <si>
    <t>Prometheus (P1, P2, P4, P6, P9), Grafana (P1, P2, P4, P6, P9), OpenTelemetry (P4), AWS EKS (P2), GCP (P19), AWS CloudWatch (P14), GPU/TPU (P9, P10, P6, P7).</t>
  </si>
  <si>
    <t>Reinforcement Learning (RL) zur Optimierung der Ressourcenzuteilung (P3, P11); Predictive Modeling (P14, P11); RL und DL zur Workload-Analyse (P2, P11).</t>
  </si>
  <si>
    <t>AI-gesteuertes Autoscaling (P2, P18, P20, P14, P11); Kubernetes HPA/VPA (P1, P2, P11, P4); LSTM (P14); Dynamic Resource Allocation (DRA) (P4).</t>
  </si>
  <si>
    <t>Jenkins ML-Plugins (P3), MLOps Tools (P12), Azure ML (P16), Diffblue Cover (P17).</t>
  </si>
  <si>
    <t>Test Case Prioritization (P3); Ensemble Methods (XGBoost, Random Forest) (P3); AI-driven Automated Testing (P16).</t>
  </si>
  <si>
    <t>Prädiktive Modelle (P3, P18, P20, P16); Reinforcement Learning (RL) zur Rückrollmechanismen (P3, P15); Unsupervised Anomaly Detection (P15).</t>
  </si>
  <si>
    <t>Automatisierte Fehlerbehebung (P19); Predictive Maintenance (P20, P16); Automated Rollbacks (P15).</t>
  </si>
  <si>
    <t>Orchestrierung (P4, P20); Containerisierung (P1, P19); AI-Driven Infrastructure as Code (IaC) (P16, P17).</t>
  </si>
  <si>
    <t>P8 (Govindrajan)</t>
  </si>
  <si>
    <t>Python (für die Modellierung).</t>
  </si>
  <si>
    <t>Das Framework arbeitet im Kontext von AWS EC2 und RDS.</t>
  </si>
  <si>
    <t>CNNs und Autoencoder werden in der Literatur für Intrusion Detection genannt.</t>
  </si>
  <si>
    <t>Das Intrusion Detection System (IDS) überwacht kontinuierlich die Cloud-Architektur. AWS CloudWatch (zur Metriksammlung) wird im Literaturreview erwähnt.</t>
  </si>
  <si>
    <t>IDS ist eine Klassifikationsaufgabe. Die Lösung basiert auf der Optimierung von Hyperparametern.</t>
  </si>
  <si>
    <t>Getestete Algorithmen: Decision Tree (DT), Random Forest (RF), XGBoost. Auch Logistic Regression (LR) und Gaussian Naïve Bayes (GNB). DT, RF und XGBoost erreichen 100% Genauigkeit.</t>
  </si>
  <si>
    <t>IBM Watson AI (P2), Microsoft Sentinel (P2), Prometheus (P12, P2), Apache Kafka (P13), Snyk/GitLab Secure (P5), AWS CloudWatch (P8)</t>
  </si>
  <si>
    <r>
      <t xml:space="preserve">Deep Learning (DL) für Cloud-Native Security (P18, P19, P13); Reinforcement Learning (RL) zur </t>
    </r>
    <r>
      <rPr>
        <i/>
        <sz val="10"/>
        <rFont val="Arial"/>
        <family val="2"/>
      </rPr>
      <t>Threat Detection</t>
    </r>
    <r>
      <rPr>
        <sz val="10"/>
        <rFont val="Arial"/>
        <family val="2"/>
      </rPr>
      <t xml:space="preserve"> (P12, P13); Federated Learning (P13); Klassikfikationsaufgabe (P8)</t>
    </r>
  </si>
  <si>
    <t>Anomalie-Erkennung (Anomaly Detection) mittels ML/AI (P2, P3, P20, P13); ML-basierte Sicherheitsmodelle (95% Genauigkeit) (P12, P13); Decision Tree, Random Forest, XGBoost (P8)</t>
  </si>
  <si>
    <t>Metdadaten</t>
  </si>
  <si>
    <t>Platform-Engineering-bereich</t>
  </si>
  <si>
    <t>use case</t>
  </si>
  <si>
    <t>Beitragstyp</t>
  </si>
  <si>
    <t>Forschungslücke</t>
  </si>
  <si>
    <t>Evaluation</t>
  </si>
  <si>
    <t>Muhammad Talha Tahir Bajwa </t>
  </si>
  <si>
    <t>Muhammad Talha Tahir Bajwa 
2025
Journal of Emgering Technology and Digital Transformation</t>
  </si>
  <si>
    <t>Sudheer Amgothu, Giridhar Kankanala 
2024
American Journal of Engineering Reserch</t>
  </si>
  <si>
    <t>Aliyu Enemosah
2025
International Journal of research Publication and reviews</t>
  </si>
  <si>
    <t>Zaalouk et al.
2024
CNCF</t>
  </si>
  <si>
    <t>Experiment: AI/ML-Integration in DevOps auf AWS EKS. Metriken: CI/CD Efficiency (Steigerung um 80%), Threat Detection Rate (Steigerung um 45%), Resource Optimization (Steigerung um 50%). Deployment-Zeit um 30% reduziert. (5)</t>
  </si>
  <si>
    <t>Demonstration/Evaluierung (Transformative Performance von AI/ML in DevOps in Cloud-Umgebungen) (IX)</t>
  </si>
  <si>
    <t>Herausforderungen identifiziert: Komplexität der Integration in CI/CD, Datenqualität, Low-latency Real-time Threat Detection, Balancing Automation with Human Oversight. (VII A)</t>
  </si>
  <si>
    <t>Beschränkung auf Single-Cloud-Umgebung. Herausforderungen bei Interoperabilität und Datengovernance in Multi-Cloud/Hybrid-Deployments. Fehlende explizite Integration von Security-aware Orchestration, Privacy-Preserving Mechanisms oder Compliance. Vendor Lock-in &amp; Interoperability bei Nutzung von Managed Services (8)</t>
  </si>
  <si>
    <t>Forschungsartikel/Übersichtsarbeit (Umfrage/Untersuchung von Predictive Models zur Optimierung von CI/CD). Kategorisierung (Tabelle 6, Workflows).</t>
  </si>
  <si>
    <t>Fallstudie (TechNova): Reduzierung der Deployment-Fehler um 40%. Reduzierung der Infrastrukturkosten um 25%. Metriken: Deployment Reliability, Resource Allocation (1.3)
Test Cycle Times (Abschnitt 5.1)</t>
  </si>
  <si>
    <t xml:space="preserve">Nur Unterscheidung zwischen Anforderung für GenAI  und Predicitve AI </t>
  </si>
  <si>
    <t>Whitepaper</t>
  </si>
  <si>
    <t>Herausforderungen (4): Inkonsistente/verrauschte CI/CD-Daten, hohe Rechenkosten von KI-Modellen, Mangel an Erklärbarkeit (XAI), organisatorischer Widerstand, Skill Gaps.</t>
  </si>
  <si>
    <t>Herausforderungen: 
- Datagovernance (Seite 11 Data Governance)
- Pipeline (Seite 10 Challenges)
Achitektur/ Betrieb: Microservice Architecture</t>
  </si>
  <si>
    <t>Paper</t>
  </si>
  <si>
    <t>Thema</t>
  </si>
  <si>
    <t>Abschnitt</t>
  </si>
  <si>
    <t>Info</t>
  </si>
  <si>
    <t>Kein Paper</t>
  </si>
  <si>
    <t>Lernparadigmen</t>
  </si>
  <si>
    <t>Predictive Modelling</t>
  </si>
  <si>
    <t>Erklärung: technischer Prozess zur erstellung eines Rechenmodells, welches historische Trends und Muster erkennt und anwendet um zukünfigte Trends zu erkennen</t>
  </si>
  <si>
    <t>Cloud Native Architecture</t>
  </si>
  <si>
    <t>Defintion für Grundlagen Teil. Eher aus CNCF Paper rausnehmen</t>
  </si>
  <si>
    <t>MLOps</t>
  </si>
  <si>
    <t>KI Tools können den ganzen Lebenszyklus managen</t>
  </si>
  <si>
    <t>Jenkins X</t>
  </si>
  <si>
    <t>3B</t>
  </si>
  <si>
    <t>Jenkins X provides built-in support for machine learning models to predict potential errors during build and deployment. This pipeline is responsible for running automated builds, vulnerability checks and deploying microservices to the Kubernetes cluster.</t>
  </si>
  <si>
    <t>AI/ML Workload Optimization</t>
  </si>
  <si>
    <t>3E</t>
  </si>
  <si>
    <t>(dynamische Ressourcenzuweisung mittels HPA). Ziel: Reduzierung der Deployment-Zeit und des Ressourcenverbrauchs</t>
  </si>
  <si>
    <t>Definition of predicitve models</t>
  </si>
  <si>
    <t>Daher die anderen herleiten. Eventuell auch in Grundlagen Teil verweisen</t>
  </si>
  <si>
    <t>Unterschied Predicitve &amp; GenAI</t>
  </si>
  <si>
    <t>Seite 6 Megring of Cloud Native and AI</t>
  </si>
  <si>
    <t>Klassifikation: Das Paper teilt KI in zwei breite Kategorien: Predictive AI (dient der Vorhersage/Analyse bestehender Muster, z.B. Klassifikation, Regression) und Generative AI (erzeugt neue, originelle Inhalte, z.B. LLMs)</t>
  </si>
  <si>
    <t>RAG</t>
  </si>
  <si>
    <t>Seite 26 Glossary/RAG</t>
  </si>
  <si>
    <t>wird als Modellarchitektur zur Erzeugung von Text in Verbindung mit externem Wissen beschrieben</t>
  </si>
  <si>
    <t>Seite 11 Data Governance</t>
  </si>
  <si>
    <t>Kritisches Thema, einschließlich privacy/ Security und wonership/Lineage von Daten</t>
  </si>
  <si>
    <t>Seite 14 Microservice Architecture and Developer Experience</t>
  </si>
  <si>
    <t>Seite 14 Model Placement, Seite 14 Resource Allocation</t>
  </si>
  <si>
    <t>Architektur/Betrieb: Microservice Architecture stellt Herausforderungen für die Synchronisation von AI-Pipelines dar, ebenso wie Model Placement und Resource Allocation</t>
  </si>
  <si>
    <t>Seite 10 Challenges For Cloud Native Artificial Intelligence</t>
  </si>
  <si>
    <t xml:space="preserve"> Data Preparation, Data Size und Data Synchronization</t>
  </si>
  <si>
    <t>Supervised Learning
Unsupervised Learning
Reinforcement Learning</t>
  </si>
  <si>
    <t>1.1</t>
  </si>
  <si>
    <t>1.2</t>
  </si>
  <si>
    <t>1.3</t>
  </si>
  <si>
    <t>2.1</t>
  </si>
  <si>
    <t>Use Case</t>
  </si>
  <si>
    <t>Beitragstyp: Study/Architecture Review (Abschnitt 1 Introduction, Abschnitt 2 Impact of AI on Cloud-Native Application Architecture).</t>
  </si>
  <si>
    <t>Organisatorische Barrieren/Skill Gaps (Abschnitt VII. A. Organizational Challenges). ML System Challenges (Umgang mit variierenden Workloads, Komplexität, Ressourcen) (Abschnitt VII. B. ML System Challenges).</t>
  </si>
  <si>
    <t>Verfügbarkeit der Trainingsdaten (Abschnitt 3. Data platform). Mangelnde Experten in Cloud-Technologie (Abschnitt 2. MLOps).</t>
  </si>
  <si>
    <t>Erweiterung auf Explainable AI (XAI) (Abschnitt V. Conclusion). Erkennung von Zero-Day-Threats (Abschnitt V. Conclusion). Integration von Echtzeit-IDS in dynamische Cloud-Infrastrukturen (Abschnitt V. Conclusion).</t>
  </si>
  <si>
    <t>Case Study Walmart (Implementierung einer Cloud-Native CI/CD Pipeline) (Abschnitt 8).</t>
  </si>
  <si>
    <t>Key Challenges: Resource allocation, Cost management (Abstract).</t>
  </si>
  <si>
    <t xml:space="preserve">Autor: Dominik Kreuzberger, Niklas Kühl, Sebastian Hirschl,
2023, 
IEEE Access </t>
  </si>
  <si>
    <t>Evaluationstyp:
Literatur-Review (Abschnitt 1 Introduction), Tool-Review (Abschnitt 1 Introduction), 8 Interviews mit Experten (Abschnitt III. C. Interview Study, Tabelle 2 List of Interview partners).</t>
  </si>
  <si>
    <t>Evaluationstyp: Case Study (Abschnitt IV. Case Study). 
Ergebnisse: Erfolgreicher Proof-of-Concept des vorgeschlagenen Frameworks (Abschnitt 3. Results).</t>
  </si>
  <si>
    <t>Research Article/Systematischer Überblick (Abschnitt 1 Introduction). Definiert MLOps als Paradigma, Prinzipien, Komponenten, Rollen und Architektur (Abschnitt 1 Introduction).</t>
  </si>
  <si>
    <t>Research Article/Case Study (Abstract). Beschreibung eines MLOps Frameworks (Abschnitt 2. MLOps).</t>
  </si>
  <si>
    <t>Conference Paper/Methodological Study (Titel, Abstract). Schlägt einen ML-Ansatz vor, der unausgewogene Daten ohne Sampling-Techniken verarbeitet (Abstract).</t>
  </si>
  <si>
    <t xml:space="preserve">Autor: Lu, Y., Bian, S., Chen, L., et al.  
2024,
arXiv preprint arXiv:2401.12230 </t>
  </si>
  <si>
    <t>Hohe Kosten und großer Ressourcenbedarf für General Training and Serving von LLMs (Abstract). Memory management (HBM) (Abschnitt 5 Outlook to the Future). Interoperabilität von LLM-Modell-Endpunkten (Abschnitt 5 Outlook to the Future).</t>
  </si>
  <si>
    <t xml:space="preserve">Study/Framework Evaluation
Bietet Einsichten zur Architektur von AI Solutions für Cloud-First Infrastrukturen </t>
  </si>
  <si>
    <t>Research Paper/Architekturanalyse Untersucht das Computing in der Ära großer generativer Modelle (Abstract).</t>
  </si>
  <si>
    <t>Resource allocation (Abstract), Cost management (Abstract). Data security and compliance (Abschnitt Challenges in Implementing Cloud-Native ML).</t>
  </si>
  <si>
    <t>Autor: Vijay Kartik Sikha 
2023, 
International Journal on Recent and Innovation Trends..</t>
  </si>
  <si>
    <t>Cloud Infrastructure (Titel). Orchestration Layer aufgebaut auf Kubernetes (Abschnitt 3. Proposed Architecture). Real-time data ingestion (Apache Kafka) (Abschnitt 3. Proposed Architecture).</t>
  </si>
  <si>
    <t>CI/CD Pipelines (Titel). Fokus auf Rollbacks, Deployment Strategies (Abschnitt 4. Automated Rollbacks). AIOps: Überwachung von KPIs wie Latency, Error rates, Resource utilization (Abschnitt 5. Adaptive Deployment Strategies).</t>
  </si>
  <si>
    <t>Cloud/Infrastruktur: Microsoft Azure DevOps Ecosystem (Abstract). AIOps: Continuous Monitoring and Feedback Loops (Abschnitt 4.2 Continuous Monitoring and Feedback Loops). Zukünftig: AI-Driven Infrastructure as Code (IaC) (Abschnitt 6.1 AI-Driven Infrastructure as Code).</t>
  </si>
  <si>
    <t>Experiment: Vergleich RL-basiertes Modell mit statischen/traditionellen Methoden (Abschnitt 5. RESULTS AND DISCUSSION). Metriken: Höchste Erkennungsgenauigkeit (93.7%), geringste Testredundanz (18%) und höchste Ressourceneffizienz beim RL-Modell (Tabelle 5 und Tabelle 6).</t>
  </si>
  <si>
    <t>Experiment: Quantitative Tests in simulierten Cloud-Umgebungen (Abschnitt 4. Methodology). Metriken: 95% Detection Accuracy, 20% Lower False Positives, 50ms Latency (Abschnitt 5. Findings and Analysis).</t>
  </si>
  <si>
    <t>Experiment: Vergleich mit traditionellen Threshold-basierten Skalierungsansätzen (Abschnitt 6. Objectives of the Research). Dataset: Real AWS CloudWatch metric data über zwei Monate (Abstract). Ergebnisse: Nachgewiesene Verbesserungen bei Kostenoptimierung und Performance Stability (Abstract).</t>
  </si>
  <si>
    <t>Experiment: Theoretische Analyse und Case Study (z.B. RL-Agent in einem Finanzdienstleistungsunternehmen) (Abschnitt Case Study/Example). Ergebnis: Deutliche Verbesserungen im Failure Recovery (Abschnitt Case Study/Example).</t>
  </si>
  <si>
    <t>Experiment: Drei Case Studies (Finanzen, Technologie, Gesundheitswesen) (Abschnitt 5. Case Studies). Ergebnisse: Reduzierung der Systemausfallzeit um 30% (Abschnitt 5.1), Reduzierung der Testzeit um 40% (Abschnitt 5.2).</t>
  </si>
  <si>
    <t>Evaluationstyp: Review/Theoretische Analyse (Abstract). Das Paper demonstriert die Vorteile durch die Auflistung spezifischer AI-Tools (Abschnitt 2. Benefits of Integrating AI-Driven CI Toolchains).</t>
  </si>
  <si>
    <t>RL-Based Cybersecurity Risk Modeling and Optimization Framework (Abstract, Abschnitt III. Proposed Methodology).</t>
  </si>
  <si>
    <t>Novel Architecture für AI-basierte Bedrohungserkennung in der Cloud-Infrastruktur (Abstract).</t>
  </si>
  <si>
    <t>Predictive Auto-Scaling Framework unter Verwendung von LSTM (Abschnitt 7. Key Contributions).</t>
  </si>
  <si>
    <t>Comprehensive Framework zur Integration von AI/ML in CI/CD-Pipelines (Abstract).</t>
  </si>
  <si>
    <t>Strategisches Framework und Best Practices für die AI-Integration in Azure DevOps (Abschnitt 1.2 Objective of the Study).</t>
  </si>
  <si>
    <t>Umfassender Überblick und Analyse (Review) der AI-Tools und Techniken in CI/CD und automatisierter Infrastruktur (Abstract).</t>
  </si>
  <si>
    <t>Inconsistent Log Histories, Inconsistent Labeling und Mangel an Standardisierung bei Metriken (Tabelle 7 Key Data Constraints).</t>
  </si>
  <si>
    <t>Computational complexity, Data privacy, Integration with legacy systems, Notwendigkeit von Explainable AI (Abschnitt 1. Introduction, Abschnitt 2. Literature Review).</t>
  </si>
  <si>
    <t>Portabilität zu anderen Cloud-Anbietern ist begrenzt, kurzer Downtime bei RDS-Skalierung, zusätzlicher Computational Overhead durch LSTM (Abschnitt 4.6 Advantages and Disadvantages of the Method).</t>
  </si>
  <si>
    <t>Mangel an umfassenden End-to-End-Lösungen und fehlende empirische Nachweise für Modelle im großen Maßstab (Abschnitt Gaps in Current Research). Hoher Computational Overhead (Abschnitt Gaps in Current Research).</t>
  </si>
  <si>
    <t>Data Quality and Availability (Abschnitt 3.1 Data Quality and Availability), Model Accuracy and Interpretability (Abschnitt 3.2 Model Accuracy and Interpretability), Skill Requirements (Abschnitt 3.3 Skill Requirements).</t>
  </si>
  <si>
    <t>Data Privacy and Security Issues, Model Explainability, Integration Complexity von AI-Tools, Skill Gaps (Abschnitt 4.1. Some of the Potential Issues).</t>
  </si>
  <si>
    <t>Gopinath Kathiresan. 
2025
International Journal of Innovative Science and Research Technology.</t>
  </si>
  <si>
    <t>Autor: Jeanette Uddoh et al. 
 2021
Volume: 02 Issue: 02</t>
  </si>
  <si>
    <t>CI/CD (CI/CD Pipelines), Automated Infrastructure Management (Abstract). KI-Enhanced Project Management (Abschnitt 3.7 AI-Enhanced Project Management).</t>
  </si>
  <si>
    <t>Evaluation: Qualitative und quantitative Analyse der Best Practices (Abstract). Strategien: Vergleich von Auto-scaling, Multi-tenancy, Serverless AI, und Edge AI zur Kostenoptimierung (Tabelle 1 Cost Optimization Strategies).</t>
  </si>
  <si>
    <t>Beitragstyp: Analyse der Herausforderungen und Innovationen beim Deployment von Large-Scale ML Models in Cloud-Native-Umgebungen (Abstract, Abschnitt I. Introduction).</t>
  </si>
  <si>
    <t>Beitragstyp: Multifaceted Study, die den transformativen Effekt von Cloud-Native-Architekturen auf ML-Workflows demonstriert (Abschnitt Conclusion).</t>
  </si>
  <si>
    <t>Beitragstyp: Architektur und Best Practices für KI-gesteuerte Automatisierung in Kubernetes-Clustern (Abstract).</t>
  </si>
  <si>
    <t>Forschungslücken: Data privacy, resource management, operational complexity (Abschnitt III. Challenges in Deployment). Notwendigkeit von Security und Compliance (Abschnitt III. Challenges in Deployment).</t>
  </si>
  <si>
    <t>Forschungslücken: Security in cloud-native ML, Green AI initiatives (Reduzierung des CO2-Fußabdrucks), Multi-cloud/Hybrid-Architekturen (Abschnitt Limitations and Future Research).</t>
  </si>
  <si>
    <t>Forschungslücken: Data Quality Issues, Model Accuracy and Interpretability, Skill Gaps, Risk Management and Governance (Abschnitt 6.3 Skill Requirements and Team Structure, Abschnitt 6.4 Risk Management and Governance).</t>
  </si>
  <si>
    <t>Architektur: Cloud-Native Architectures (Abschnitt II. Cloud-Native Architectures). Infrastruktur: Containerization, Microservices, Serverless, Edge Computing (Abstract). Orchestrierung: Kubernetes und .NET (Abschnitt II. Cloud-Native Architectures).</t>
  </si>
  <si>
    <t>Architektur: Cloud-Native Architectures: Microservices, Containerization (Docker, Kubernetes), Serverless Computing (AWS Lambda, Google Cloud Functions) (Abschnitt Implementation of Cloud-Native Architectures). MLOps: TFX, MLFlow, Kubeflow (Abschnitt Data Engineering Innovations Transforming Machine Learning Workflows).</t>
  </si>
  <si>
    <t>Infrastruktur/Orchestrierung: Kubernetes Operations (Titel), Container Orchestration (Abstract). Monitoring/AIOps: Cloud-native observability (Abschnitt 3.3 Advanced Monitoring and Diagnostics), ML-driven security monitoring (Abschnitt 3.4 Security Enhancement).</t>
  </si>
  <si>
    <t>Evaluation: Experimenteller Vergleich Cloud-Native vs. Traditional (Abschnitt Methodology). Ergebnisse: Trainingszeit und Inferenzlatenz um 50-55% reduziert (Abstract, Abschnitt Training Time Reduction, Tabelle 2 Inference Latency Comparison). Cost Efficiency um 50% reduziert (Tabelle 3 Cost Efficiency).</t>
  </si>
  <si>
    <t>Evaluation: Nutzung von globalen Implementierungsumfragen und Fallstudien (Abschnitt 1. Introduction). Ergebnisse: Reduzierung manueller Aufgaben um 52% (Abschnitt 3.1 Intelligent Automation), Deployment Success Rate um 47% verbessert (Abschnitt 3.1 Intelligent Automation).</t>
  </si>
  <si>
    <t>Rahul Amte
2025
International Journal of Scientific Research in Artificial Intelligence and Machine Learning.</t>
  </si>
  <si>
    <t>Karthik Puthraya et al.
2025
Sarcouncil Journal of Applied Sciences, vol-5, issue-2.</t>
  </si>
  <si>
    <t>Varun Tamminedi
2024
International Journal for Multidisciplinary Research (IJFMR).</t>
  </si>
  <si>
    <t>Harmonisierte Kategorie</t>
  </si>
  <si>
    <t>Random Forest, RF, Decision Tree, DT, XGBoost, Gradient Boosting</t>
  </si>
  <si>
    <t>CNN, RNN, LSTM, BERT, Neural Networks, Deep Learning</t>
  </si>
  <si>
    <t>Deep Learning (DL)</t>
  </si>
  <si>
    <t>Reinforcement Modeling, RL, DQN</t>
  </si>
  <si>
    <t>Reinforcement Learning (RL)</t>
  </si>
  <si>
    <t>Predictive AI, Predictive Analytics, Predictive Modeling</t>
  </si>
  <si>
    <t>Predictive Modeling / Analytics</t>
  </si>
  <si>
    <t>Generative AI, LLMs, ChatGPT, OpenAI CodeX, GitHub Copilot, RAG</t>
  </si>
  <si>
    <t>Generative AI (GenAI)</t>
  </si>
  <si>
    <t>CI/CD, Build Optimization, Automated Testing, Automated Rollbacks</t>
  </si>
  <si>
    <t>CI/CD / Testing</t>
  </si>
  <si>
    <t>Resource Allocation, Dynamic Ressourcenzuweisung, Auto-Scaling</t>
  </si>
  <si>
    <t>Resource Allocation / Scaling</t>
  </si>
  <si>
    <t>Observability, Prometheus, Grafana, AWS CloudWatch, AIOps</t>
  </si>
  <si>
    <t>Monitoring / AIOps</t>
  </si>
  <si>
    <t>Security Scans, Threat Detection, Intrusion Detection, Cybersecurity Risk Modeling</t>
  </si>
  <si>
    <t>Security / DevSecOps</t>
  </si>
  <si>
    <t>Kubeflow, MLFlow, TFX, Ray, Tekton, MLRun</t>
  </si>
  <si>
    <t>MLOps Tools (Spezifisch)</t>
  </si>
  <si>
    <t>Kubernetes, K8s, Containerization</t>
  </si>
  <si>
    <t>Kubernetes / Orchestrierung</t>
  </si>
  <si>
    <t>Tree/Ensemble Methods (inkl. RF, DT, XGBoost)</t>
  </si>
  <si>
    <t>Lernparadigma</t>
  </si>
  <si>
    <t>Häufigkeit</t>
  </si>
  <si>
    <t>Belegte Paper</t>
  </si>
  <si>
    <t>Supervised Learning</t>
  </si>
  <si>
    <t>8x</t>
  </si>
  <si>
    <t>Unsupervised Learning</t>
  </si>
  <si>
    <t>6x</t>
  </si>
  <si>
    <t>P1 (Modeling), P3, P11, P12 (DQN), P13, P15</t>
  </si>
  <si>
    <t>Methode/Algorithmus</t>
  </si>
  <si>
    <t>Deep Learning (DL) (inkl. CNN, LSTM, RNN, Autoencoders)</t>
  </si>
  <si>
    <t>P1, P3, P7, P9, P13, P14, P15, P19</t>
  </si>
  <si>
    <t>Tree/Ensemble Methods (RF, XGBoost, DT)</t>
  </si>
  <si>
    <t>4x</t>
  </si>
  <si>
    <t>P4, P5 (CodeX/Copilot), P10, P18 (ChatGPT)</t>
  </si>
  <si>
    <t>Domäne</t>
  </si>
  <si>
    <t>MLOps Tools (Spezifisch: Kubeflow, MLFlow, TFX)</t>
  </si>
  <si>
    <t>5x</t>
  </si>
  <si>
    <t>Microservices / Serverless</t>
  </si>
  <si>
    <t>Jahr</t>
  </si>
  <si>
    <t>2x (P7, P13)</t>
  </si>
  <si>
    <t>1x (P16)</t>
  </si>
  <si>
    <t>2x (P5, P6)</t>
  </si>
  <si>
    <t>Autor: Vijay Govindrajan
2025 
(Conference Paper Header).</t>
  </si>
  <si>
    <t>7x</t>
  </si>
  <si>
    <t>CI/CD Optimization / Testing</t>
  </si>
  <si>
    <t>P2, P3, P5, P15, P16, P17</t>
  </si>
  <si>
    <t>Predictive Modeling / Analytics (General, Maintenance)</t>
  </si>
  <si>
    <t>ML Workflow / Training / Serving Optimization</t>
  </si>
  <si>
    <t xml:space="preserve">Ursprüngliche Begriffe </t>
  </si>
  <si>
    <t>KI-Technologie / Lernparadigma</t>
  </si>
  <si>
    <t>Kubernetes / Orchestrierung (inkl. Skalierung)</t>
  </si>
  <si>
    <t>Supervised Learning (SL)</t>
  </si>
  <si>
    <t>Unsupervised Learning (UL)</t>
  </si>
  <si>
    <t>Tree/Ensemble Methods</t>
  </si>
  <si>
    <t xml:space="preserve">Autor: Satheesh Reddy Gopireddy. 
2022, 
Volume 11 Issue 6 </t>
  </si>
  <si>
    <t xml:space="preserve">Autor: Sudip Poudel et al. 
2025
Journal of Advanced College of Engineering and Management </t>
  </si>
  <si>
    <t xml:space="preserve">Autor: Suprit Pattanayak et al. 
2024 
International Journal of Science and Research Archive </t>
  </si>
  <si>
    <t>Vorwärts aus P6</t>
  </si>
  <si>
    <t>Alexander Keusch et al</t>
  </si>
  <si>
    <t>Platform-Agnostic MLOps on Edge, Fog and Cloud Platforms in
Industrial IoT</t>
  </si>
  <si>
    <t>P21 (Puthraya)</t>
  </si>
  <si>
    <t>P22 (Tamminedi)</t>
  </si>
  <si>
    <t>Novel Platform-Agnostic MLOps Framework (Abschnitt 1). Demonstration der Praktikabilität mit industriellen ML-Workflows (Abschnitt 1).</t>
  </si>
  <si>
    <t>MLOps Framework (Abstract). Fokus: Edge, Fog und Cloud Plattformen (Abstract). Architektur: Docker-fähige Geräte (Cloud Server, Fog Node, Edge Device). Datenmanagement über MQTT Broker.</t>
  </si>
  <si>
    <t>Experiment: Vergleich von Edge-, Fog- und Cloud-Deployments (Abstract). Metriken: Training Time, Prediction Time, CPU/Memory Utilization, Energy Consumption (Abschnitt 4.3). Ergebnisse: Cloud hat die niedrigste Gesamt-Vorhersagezeit, Edge den geringsten Energieverbrauch (Abschnitt 4.4.2, Abschnitt 4.4.1).</t>
  </si>
  <si>
    <t>Erforschung von Hybrid Deployments (z.B. Training in der Cloud, Inferencing am Edge) (Abschnitt 4.5). Automatische Orchestrierungsmechanismen (Abschnitt 5).</t>
  </si>
  <si>
    <t>Alexander Keusch et al
2024
 International Conference on Web Information Systems and Technologies (WEBIST 2024).</t>
  </si>
  <si>
    <t>P19 (Kusch et al.)</t>
  </si>
  <si>
    <t>P20 (Hu et al.)</t>
  </si>
  <si>
    <t>Random Forest Model</t>
  </si>
  <si>
    <t>Platform-Agnostic MLOps Framework</t>
  </si>
  <si>
    <t>Monitoring des System Status</t>
  </si>
  <si>
    <t>Continuous Monitoring, Test-based alerts</t>
  </si>
  <si>
    <t>Demand Forecasting</t>
  </si>
  <si>
    <t>Random Forest</t>
  </si>
  <si>
    <t>MLOps Monitoring Agent (MLMA) Framework</t>
  </si>
  <si>
    <t>Streaming Data Plattformen</t>
  </si>
  <si>
    <t>PCB Quality Inspection (Klassifikation)</t>
  </si>
  <si>
    <t>Datenmanagement über MQTT Broker</t>
  </si>
  <si>
    <t>Edge Device, Fog VM, Cloud Instance (AWS EC2, OpenStack)</t>
  </si>
  <si>
    <t>10x</t>
  </si>
  <si>
    <t>P1, P2, P3, P4 (Predictive AI), P8, P13, P15, P19, P20, P21</t>
  </si>
  <si>
    <t>P1, P3, P8, P13, P15, P120, P22</t>
  </si>
  <si>
    <t>14x</t>
  </si>
  <si>
    <t>13x</t>
  </si>
  <si>
    <t>P1, P2, P4, P5, P6, P7, P10, P11, P12, P13, P18, P19, P20, P22</t>
  </si>
  <si>
    <t>P2, P3, P11, P12, P14, P18, P22</t>
  </si>
  <si>
    <t>P2, P4, P8, P12, P13, P22</t>
  </si>
  <si>
    <t>P1, P16, P17, P22</t>
  </si>
  <si>
    <t>P2, P3, P4 (Generative AI), P10 (implizit LLM), P13, P15, P19, P22 (für Anomaly Detection)</t>
  </si>
  <si>
    <t>P4, P6, P10, P21</t>
  </si>
  <si>
    <t>P1, P2, P4, P5, P9, P12, P13, P14, P15, P16, P19, P20, P22</t>
  </si>
  <si>
    <t>P2, P3, P5, P6, P12, P13, P15, P17, P19</t>
  </si>
  <si>
    <t>P1, P4, P6, P7, P19, P20 P21</t>
  </si>
  <si>
    <t>P1, P11, P18, P19, P21</t>
  </si>
  <si>
    <t>8x (P2, P4, P9, P10, P15 P17, P19, P22)</t>
  </si>
  <si>
    <t>9x (P1, P3, P8, P11, P12, P14, P18, P20, P21)</t>
  </si>
  <si>
    <t>Formen</t>
  </si>
  <si>
    <t>Algorithmen &amp; Architekturen</t>
  </si>
  <si>
    <t>Decision Trees, Random Forests, XGBoost, SVM und K-Means werden zur Priorisierung/Vorhersage verwendet</t>
  </si>
  <si>
    <t>Klassische ML-Algorithmen (z.B. Regression, Clustering) werden für Predictive Analytics verwende</t>
  </si>
  <si>
    <t>Supervised Learning (implizit in Predictive Modeling)</t>
  </si>
  <si>
    <t>für Predictive Models, Klassifikation, Regression</t>
  </si>
  <si>
    <t>Anomalieerkennung und Clustering von Mustern (2.1)</t>
  </si>
  <si>
    <t>Form von diskrimnativer KI</t>
  </si>
  <si>
    <t>Predictive Analytics für Regression und Clustering = SL</t>
  </si>
  <si>
    <t xml:space="preserve">Vorhersage von Build Failures IV) </t>
  </si>
  <si>
    <t>für Anomalieerkennung, Threat Detection 3D</t>
  </si>
  <si>
    <t xml:space="preserve">Implizit genannt </t>
  </si>
  <si>
    <t>Erwähnung von unstrukturierten und ungelabelten Daten im Kontext der Datenaufnahme deutet auf UL-Aufgaben hin.</t>
  </si>
  <si>
    <t>RL from Human Feedback (RLHF)</t>
  </si>
  <si>
    <t>Anomaly detection models und UL für automated rollbacks</t>
  </si>
  <si>
    <t>Preditive failure Detection</t>
  </si>
  <si>
    <t>Threat Classification</t>
  </si>
  <si>
    <t>Anomaly Detection</t>
  </si>
  <si>
    <t>Deep Q-Network (DQN). Deep reinforcement learnin</t>
  </si>
  <si>
    <t>TensorFlow, PyTorch,Scikitlearn</t>
  </si>
  <si>
    <t>Kubernetes</t>
  </si>
  <si>
    <t>Predicitve Analytics</t>
  </si>
  <si>
    <t>Anomaly Detetcion</t>
  </si>
  <si>
    <t>SL für PCB Quality Inspection</t>
  </si>
  <si>
    <t>Real time anomaly detection</t>
  </si>
  <si>
    <t>Automated anomaly detection</t>
  </si>
  <si>
    <t>Klassifikation/ Regression</t>
  </si>
  <si>
    <t>preditive maintenance</t>
  </si>
  <si>
    <t>Deep Learning networks</t>
  </si>
  <si>
    <t>Accuracy, Precision, Recall und F1-Score (Abstract &amp; Statistical Analysis for Model Evaluation)</t>
  </si>
  <si>
    <t>Dense output Layer klassifiziert Entschiedung, was eine SL-Klassifikationsaufgabe ist (Abschnitt 3.4)</t>
  </si>
  <si>
    <t>zukünfigte entwicklung in fortschrittlicheren Modellen</t>
  </si>
  <si>
    <t xml:space="preserve">Kubeflow, MLFlow, Jenkins, Istio, Apache Kafka </t>
  </si>
  <si>
    <t>Jenkins X, Helm Charts, 
Trivy und Clair (Security)</t>
  </si>
  <si>
    <t>Deep Learning Modelle sind resourcenintensiv (nur erwähnt)</t>
  </si>
  <si>
    <t>Cloud-Native AI ermöglicht Dynamic Resource Allocation (DRA) und Right-Sizing. GenAI hat extrem hohen Berechnungsbedarf.</t>
  </si>
  <si>
    <t>Threat Detection and Security Monitoring in Echtzeit (Abstract, Abschnitt D).</t>
  </si>
  <si>
    <t>Intelligent Auto-Scaling und Resource Allocation (Abschnitt 1.4).</t>
  </si>
  <si>
    <t>Predictive Modelling (1.1)
Bietet Fault tolerance und Self-healing (Abschnitt 5.1)</t>
  </si>
  <si>
    <t>AI-driven CI/CD Pipelines zur Verbesserung der Entwicklung (Abstract, Abschnitt 5.2).</t>
  </si>
  <si>
    <t>Optimierung der Ressourcenzuteilung (Abstract).</t>
  </si>
  <si>
    <t>Security in AI-Enabled Cloud-Native Applications (Abschnitt 6). Automated Security Testing.</t>
  </si>
  <si>
    <t>Deployment auf Edge Services (Abbildung 1, Abschnitt 3.1).</t>
  </si>
  <si>
    <t>Prediction von POD failures (Abschnitt V. Conclusion).</t>
  </si>
  <si>
    <t>Resource Management &amp; Cost Overheads für GPUs/TPUs (Abschnitt 3.1).</t>
  </si>
  <si>
    <t>Scalability &amp; Elasticity, Inference Latency in Real-time (Abschnitt 3.3).</t>
  </si>
  <si>
    <t>Security &amp; Privacy und Monitoring &amp; Lifecycle Management (Abschnitt 3.4, 3.5).</t>
  </si>
  <si>
    <t>Vendor Lock-in &amp; Interoperability (Abschnitt 3.6).</t>
  </si>
  <si>
    <t>Data Management &amp; Pipeline Complexity (Abschnitt 3.2).</t>
  </si>
  <si>
    <t>Resource Consumption durch ressourcenintensive ML-Modelle (Abschnitt Resource Consumption).</t>
  </si>
  <si>
    <t>High computational cost of AI models (Abschnitt Technical Challenges).</t>
  </si>
  <si>
    <t>Computational Power: Extrem hoch für GenAI (Abschnitt Challenges/Need). Cost Control (Abschnitt Cost Control).</t>
  </si>
  <si>
    <t>Operational Challenges: Resource Consumption (CPU, RAM, GPU) (Abschnitt C).</t>
  </si>
  <si>
    <t>Trainingskosten sind soaring (Abschnitt V. Conclusion).</t>
  </si>
  <si>
    <t>Real-time Threat Detection with Low Latency (Abschnitt Real-time Threat Detection).</t>
  </si>
  <si>
    <t>Skalierbarkeit/Zuverlässigkeit, Latenz (Abschnitt Scalability).</t>
  </si>
  <si>
    <t>Scalability and Elasticity: Hohe Anforderungen für GenAI (Abschnitt Challenges/Need). Latenz für Datenübertragung (Abschnitt Networking).</t>
  </si>
  <si>
    <t>ML System Design: Fluktuation von Daten und Training.</t>
  </si>
  <si>
    <t>Skalierbarkeit für Trainingsprozesse (Abschnitt V. Conclusion).</t>
  </si>
  <si>
    <t>Balancing Automation with Human Oversight (Abschnitt Balancing Automation).</t>
  </si>
  <si>
    <t>Lack of Explainability (XAI). Ethical and Practical Considerations (Abschnitt 4.4).</t>
  </si>
  <si>
    <t>Data Governance: Privacy and Security, Observability (Modell-Drift).</t>
  </si>
  <si>
    <t>Security Key Aspects (Abschnitt 6.1).</t>
  </si>
  <si>
    <t>Governance: Monitoring, Security, Privacy (Abschnitt C). Explainability (XAI).</t>
  </si>
  <si>
    <t>Complexity of AI/ML Integration in CI/CD Pipelines (Abschnitt VI. A).</t>
  </si>
  <si>
    <t>Integration von Komponenten/Tools (Abschnitt C).</t>
  </si>
  <si>
    <t>Data Availability and Quality for Training Models (Abschnitt Data Availability).</t>
  </si>
  <si>
    <t>Inconsistent and noisy CI/CD data (Abschnitt 4.1).</t>
  </si>
  <si>
    <t>Data Preparation, Data Size, Data Synchronization (Abschnitt Data Preparation, Data Size).</t>
  </si>
  <si>
    <t>Data management challenges (Abschnitt C).</t>
  </si>
  <si>
    <t>Intrusion Detection System (IDS) zur Erkennung von Angriffen in Cloud-Umgebungen (Abstract, Abschnitt I).</t>
  </si>
  <si>
    <t>Test Optimization und Pipeline-Optimierung (Titel, Abstract).</t>
  </si>
  <si>
    <t>Optimizing resource utilization (Abstract, Abschnitt Challenges). Dynamic Resource Allocation (Abschnitt Monitoring and Optimization).</t>
  </si>
  <si>
    <t>Optimierung der GPU/TPU utilization (Abschnitt 3). Resource optimization (Abstract).</t>
  </si>
  <si>
    <t>Reduzierung der Resource Utilization (Abschnitt V.3). Maximierung der Genauigkeit bei minimaler Ressourcenallokation (Abstract).</t>
  </si>
  <si>
    <t>Cybersecurity Risk Modeling und Vulnerability Detection in CI/CD Pipelines (Titel, Abstract).</t>
  </si>
  <si>
    <t>AI-Based Threat Detection Systems (Abstract, Titel). Anomaly Detection und Threat Classification (Abschnitt 3).</t>
  </si>
  <si>
    <t>Automated Response (z.B. Isolierung kompromittierter Knoten) (Abstract, Abschnitt 3).</t>
  </si>
  <si>
    <t>Serverless computing zur Bereitstellung von Inference Services (Abschnitt Key Principles, Methodology). Trend: Edge AI (Abschnitt Future Trends).</t>
  </si>
  <si>
    <t>Deployment auf Serverless platforms (Abschnitt 3). Edge AI (Abschnitt 5.2, 5.3).</t>
  </si>
  <si>
    <t>Optimierung für Edge Computing (Abschnitt 3).</t>
  </si>
  <si>
    <t>GNB hat kurze Trainingsdauer (2.55s). Reduzierter Computational Cost (Abschnitt V).</t>
  </si>
  <si>
    <t>Resource consumption monitoring zur Vermeidung von Kostenüberschreitungen (Cost Overruns) (Abschnitt Challenges).</t>
  </si>
  <si>
    <t>Hohe Kosten und großer Bedarf an Computational Power (Abstract, Abschnitt 5.1). High Bandwidth Memory (HBM) constraint.</t>
  </si>
  <si>
    <t>Reduzierung des Resource Usage (CPU/Memory) (Abschnitt V.3). Inhärente Costs und Instabilität in RL (Abschnitt Constraints).</t>
  </si>
  <si>
    <t>Computational Complexity (Abstract, Abschnitt 1, 2). Hohe Implementierungskosten (Abschnitt 5).</t>
  </si>
  <si>
    <t>Effizienz für Big Data (Abschnitt V). Real-time detection applications (Abschnitt 1.II, 1.IV).</t>
  </si>
  <si>
    <t>Scalability is paramount (Abschnitt Key Principles). Real-Time Inference (50 ms latency) (Abstract, Tabelle 1/4).</t>
  </si>
  <si>
    <t>Hohe Anforderungen an Scalability (Abstract, Abschnitt 3). Inference Latency (Abstract, Abschnitt 5.1).</t>
  </si>
  <si>
    <t>Bedarf an Real-Time Adaption und Vulnerability Detection (Abschnitt II. Table 1, Abschnitt IV.A).</t>
  </si>
  <si>
    <t>Real-time detection (Abstract, Abschnitt 5). Anforderungen an Scalability und Elastizität (Abschnitt 2).</t>
  </si>
  <si>
    <t>Erweiterung auf Explainable AI (XAI) zur Erklärung von Vorhersagen (Abschnitt V).</t>
  </si>
  <si>
    <t>Managing Data Security and Compliance (Abschnitt Challenges, Methodology).</t>
  </si>
  <si>
    <t>Interpretability and Explainability (XAI) als wichtigste Herausforderungen (Abschnitt 4.1, 305).</t>
  </si>
  <si>
    <t>Data Privacy (GDPR/CCPA) (Abstract, Abschnitt 1, 2, 3). Explainable AI (XAI) (Abstract, Abschnitt 1, 3).</t>
  </si>
  <si>
    <t>Complexity of integrating multiple cloud services (Abschnitt Challenges).</t>
  </si>
  <si>
    <t>Risiko von Vendor Lock-in (Abschnitt 3).</t>
  </si>
  <si>
    <t>Integration Complexity (heterogene Tools) (Abschnitt V.1, Tabelle 7).</t>
  </si>
  <si>
    <t>Integration with legacy systems (Abstract, Abschnitt 1, 2).</t>
  </si>
  <si>
    <t>Herausforderung durch Imbalanced Data (sehr wenige Angriffssamples) (Abstract, Abschnitt I, III).</t>
  </si>
  <si>
    <t>Data pipelines und Feature Stores (Abschnitt Architectural Components).</t>
  </si>
  <si>
    <t>Datenmanagement und Pipeline-Komplexität (Abstract, Abschnitt 5.1).</t>
  </si>
  <si>
    <t>Data Quality Issues (Missing log histories, Inconsistent labeling) (Abschnitt V.2, Tabelle 7). Data sensitive and privacy (Abschnitt V.2, Tabelle 7).</t>
  </si>
  <si>
    <t>Predictive Failure Detection (Abstract, Abschnitt 3). Adaptive Deployment Strategies (Abstract, Abschnitt 5).</t>
  </si>
  <si>
    <t>Automated Testing (Testfallgenerierung, Testpriorisierung) (Abschnitt 2.2). AI-Powered Continuous Delivery (Abschnitt 6.2).</t>
  </si>
  <si>
    <t>AI-Powered Continuous Integration (Code Branching, Merges) (Abschnitt 1.1). Automation of Artifact Acceptance Policies (Abschnitt 2.4).</t>
  </si>
  <si>
    <t>AI-Driven Intelligent Auto-Scaling für AWS EC2/RDS (Abstract, Abschnitt 1). Optimizing Cloud Resource Utilization (Abstract, Abschnitt 6).</t>
  </si>
  <si>
    <t>Dynamische Anpassung von Deployment-Parametern basierend auf Resource Utilization. Optimizing resource allocation in Cloud-Anwendungen.</t>
  </si>
  <si>
    <t>Continuous Optimization von VM-Konfigurationen und Resource Allocation (Abschnitt 2.4). AI-Driven IaC zur Optimierung der Infrastruktur (Abschnitt 6.1).</t>
  </si>
  <si>
    <t>AI-Powered Automated Infrastructure (Abstract, Abschnitt 2.8). Dynamic Infrastructure Optimization (Abschnitt 4.1.5).</t>
  </si>
  <si>
    <t>Anomaly Detection zur Erkennung ungewöhnlicher Zugriffsmuster (Abschnitt 2.3, 5.3). AI in DevSecOps (Abschnitt 6.3).</t>
  </si>
  <si>
    <t>Looking for Quality Errors and Security Issues (Abschnitt 1.7). AI kann zur Improved Infrastructure Security beitragen (Abschnitt 4.1.2).</t>
  </si>
  <si>
    <t>Predictive Mechanism zur Vorhersage des Ressourcenbedarfs. System prognostiziert Downtime (Abschnitt 1.1).</t>
  </si>
  <si>
    <t>Predictive Failure Detection. Automated Rollbacks bei Anomalien während des Deployments (Abstract, Abschnitt 4).</t>
  </si>
  <si>
    <t>Predictive Analytics zur Prognose von Systemausfällen/Performance-Engpässen (Abschnitt 2.1).</t>
  </si>
  <si>
    <t>Predictive Maintenance (Brückenüberwachung, Leckerkennung) (Abschnitt 3.1). Restoring Production to a Previous Version (Rollbacks) (Abschnitt 2.5).</t>
  </si>
  <si>
    <t>AI wird voraussichtlich mit Edge Computing verschmelzen (Abschnitt 4.2).</t>
  </si>
  <si>
    <t>Cost Overheads durch Modelltraining und Inference (Abschnitt 4.6). Reduzierung der Operational Costs ist Ziel.</t>
  </si>
  <si>
    <t>AI-Modelle führen zu additional computational overhead.</t>
  </si>
  <si>
    <t>Reduzierung der Operational Costs und Resource Efficiency (Abschnitt 2.4).</t>
  </si>
  <si>
    <t>Cost of AI Tools and Training ist hoch (Abschnitt 2.7). AI-powered IaC führt zu Reduced Operational Costs.</t>
  </si>
  <si>
    <t>Inference Latency und kurzer Downtime bei RDS-Skalierung sind Einschränkungen. Performance Reliability und Scalability sind Ziele.</t>
  </si>
  <si>
    <t>Model Scalability ist eine Herausforderung (Modelle benötigen substantial computational resources) (Abschnitt Challenges in AI Integration). Latency muss optimiert werden (Abschnitt Challenges in AI Integration).</t>
  </si>
  <si>
    <t>Performance Monitoring (Abschnitt 2.4).</t>
  </si>
  <si>
    <t>Ethical Considerations und Accountability für automatisierte Entscheidungen (Abschnitt 9). Data Privacy and Security (Abschnitt 9).</t>
  </si>
  <si>
    <t>Model Accuracy and Interpretability (XAI) ist entscheidend (Abschnitt 3.2). Security (Abschnitt 4.3).</t>
  </si>
  <si>
    <t>Portability zu anderen Cloud-Anbietern ist limitiert (AWS Lock-in).</t>
  </si>
  <si>
    <t>System Compatibility mit existierenden CI/CD Tools (Abschnitt Challenges in AI Integration). Interface Design zur Integration von AI Insights ist nötig.</t>
  </si>
  <si>
    <t>Skill Requirements (AI/ML und DevOps Expertise) ist ein Challenge (Abschnitt 3.3).</t>
  </si>
  <si>
    <t>Data Collection, Feature Selection und Data Quality sind Herausforderungen (Abschnitt Gaps, 6). Umgang mit Imbalanced Data.</t>
  </si>
  <si>
    <t>Data Quality and Availability (Inconsistent Data Formats, Data Silos) (Abschnitt 3.1). Continuous Monitoring and Feedback Loops.</t>
  </si>
  <si>
    <t>Automated Data Pipelines (ETL/ELT) zur Beschleunigung von ML-Workflows (Abschnitt Data Engineering Innovations).</t>
  </si>
  <si>
    <t>AI-driven Container Orchestration ermöglicht höhere Deployment Success Rates (Abstract, Abschnitt 3.1). Automated Workflow Orchestration (Abschnitt 6.3).</t>
  </si>
  <si>
    <t>Resource allocation und Dynamic cost optimization strategy (Abschnitt IV). Auto-scaling (Abschnitt III, IV).</t>
  </si>
  <si>
    <t>Dynamic resource adjust und Resource allocation (Abschnitt Resource Allocation). Cost Efficiency durch dynamisches Provisioning (Abstract, Tab. 3).</t>
  </si>
  <si>
    <t>Intelligent resource allocation (Abstract). 38% Steigerung der Cluster Usage (Abschnitt 3.1).</t>
  </si>
  <si>
    <t>Deep Learning für real time anomaly detection (Abschnitt IV). AI glättet Security Policy Enforcement in DevOps Pipelines (Abschnitt Security).</t>
  </si>
  <si>
    <t>Automated Security Enhancements (Abschnitt 3.4). ML-based security models erkennen Sicherheitslücken (Abschnitt 3.4).</t>
  </si>
  <si>
    <t>Predictive maintenance (Abschnitt IV).</t>
  </si>
  <si>
    <t>Predictive maintenance ist ein industrieller AI Use Case (Abschnitt 2).</t>
  </si>
  <si>
    <t>Automated failovers und Self-healing Kubernetes clusters (Abschnitt Fault Tolerance).</t>
  </si>
  <si>
    <t>Predictive maintenance (Abstract, Abschnitt 3.2). Automated Anomaly Detection (Abstract, Abschnitt 3.2).</t>
  </si>
  <si>
    <t>Edge computing (Abstract, Abschnitt I, II). Serverless solution (Abschnitt IV).</t>
  </si>
  <si>
    <t>Platform-Agnostic MLOps auf Edge, Fog, und Cloud platforms (Abstract, Abschnitt 1, 3.1).</t>
  </si>
  <si>
    <t>Serverless computing (Abstract, Abschnitt Data Engineering, Implementation).</t>
  </si>
  <si>
    <t>Edge Computing Implementation Plans (Abschnitt 6.3).</t>
  </si>
  <si>
    <t>Cost optimization (Abschnitt I, III, IV). Resource management (Abschnitt III). Execution overhead (Abschnitt III).</t>
  </si>
  <si>
    <t>Energy Consumption ist ein gemessenes Kriterium (Abschnitt 4.3).</t>
  </si>
  <si>
    <t>Cost efficiency ist Ziel. Traditionelle Workflows benötigen excessive computational resources (Abschnitt One of the most significant).</t>
  </si>
  <si>
    <t>Infrastructure Cost Reduction um 31% notwendig (Abstract, Fig. 2). Addressing Resource optimization (Abschnitt 2.4).</t>
  </si>
  <si>
    <t>Latency (Abstract, Abschnitt I, III). Performance limitations (Abschnitt IV). Trade-off between cost and latency (Abschnitt III).</t>
  </si>
  <si>
    <t>Low latency ist eine Anforderung (Abschnitt 1). Communication Latency wird gemessen (Abschnitt 4.3).</t>
  </si>
  <si>
    <t>Verbesserte Inference Latency (Abstract, Tabelle 2). Scalability ist fundamental (Abschnitt Improved Scalability).</t>
  </si>
  <si>
    <t>Scalability Herausforderung (Abschnitt 1). Real-time security solutions benötigt.</t>
  </si>
  <si>
    <t>Privacy-aware approach und Security/Privacy (Abschnitt 1, 4.5).</t>
  </si>
  <si>
    <t>ML-driven security monitoring (Abschnitt 3.4). AI Governance Systeme (Abschnitt 4.3, Table 1). Risk Management and Governance (Abschnitt 6.4).</t>
  </si>
  <si>
    <t>Operational complexity (Abschnitt III).</t>
  </si>
  <si>
    <t>Platform-agnostic framework notwendig wegen Gaps der Cloud Provider (Abschnitt 1).</t>
  </si>
  <si>
    <t>Microservices Architecture löst Integrationskomplexität.</t>
  </si>
  <si>
    <t>Operational Complexity Reduction um 41% notwendig (Abschnitt 6.3, Table 2).</t>
  </si>
  <si>
    <t>Data Management ist ein Design-Ziel des Frameworks (Abschnitt 1).</t>
  </si>
  <si>
    <t>Data Engineering Innovations (Titel). Decoupled storage and compute (Abschnitt Data Engineering).</t>
  </si>
  <si>
    <t>Data Quality Issues sind eine Herausforderung (Abschnitt 4.2, Table 1).</t>
  </si>
  <si>
    <t>Edge AI technologies werden zur Latenzreduktion genutzt (Abschnitt Real-time Threat Detection).</t>
  </si>
  <si>
    <r>
      <rPr>
        <b/>
        <sz val="10"/>
        <color theme="1"/>
        <rFont val="Arial"/>
        <family val="2"/>
      </rPr>
      <t>Lernparadigma</t>
    </r>
    <r>
      <rPr>
        <sz val="10"/>
        <color theme="1"/>
        <rFont val="Arial"/>
        <family val="2"/>
      </rPr>
      <t xml:space="preserve">: Supervised Learning (implizit in Predictive Modeling). Explizit genannt: Reinforcement Modeling (Abschnitt 1.1).
</t>
    </r>
    <r>
      <rPr>
        <b/>
        <sz val="10"/>
        <color theme="1"/>
        <rFont val="Arial"/>
        <family val="2"/>
      </rPr>
      <t>Methode</t>
    </r>
    <r>
      <rPr>
        <sz val="10"/>
        <color theme="1"/>
        <rFont val="Arial"/>
        <family val="2"/>
      </rPr>
      <t>: Ensemble Methods (XGBoost, Random Forests). Deep Learning. Closed-loop learning, Distributed Learning (5.4).</t>
    </r>
  </si>
  <si>
    <r>
      <rPr>
        <b/>
        <sz val="10"/>
        <color theme="1"/>
        <rFont val="Arial"/>
        <family val="2"/>
      </rPr>
      <t>Lernparadigma</t>
    </r>
    <r>
      <rPr>
        <sz val="10"/>
        <color theme="1"/>
        <rFont val="Arial"/>
        <family val="2"/>
      </rPr>
      <t xml:space="preserve">: Supervised Learning (implizit: Vorhersage von Build Failures IV)). Unsupervised Learning (für Anomalieerkennung, Threat Detection 3D).
</t>
    </r>
    <r>
      <rPr>
        <b/>
        <sz val="10"/>
        <color theme="1"/>
        <rFont val="Arial"/>
        <family val="2"/>
      </rPr>
      <t>Methode</t>
    </r>
    <r>
      <rPr>
        <sz val="10"/>
        <color theme="1"/>
        <rFont val="Arial"/>
        <family val="2"/>
      </rPr>
      <t>: Maschinelles Lernen zur kontinuierlichen Mustererkennung (VI C). KI-Algorithmen zur dynamischen Anpassung (3D).</t>
    </r>
  </si>
  <si>
    <r>
      <rPr>
        <b/>
        <sz val="10"/>
        <color theme="1"/>
        <rFont val="Arial"/>
        <family val="2"/>
      </rPr>
      <t>Lernparadigma:</t>
    </r>
    <r>
      <rPr>
        <sz val="10"/>
        <color theme="1"/>
        <rFont val="Arial"/>
        <family val="2"/>
      </rPr>
      <t xml:space="preserve"> Supervised Learning (für Predictive Models, Klassifikation, Regression). Reinforcement Learning (RL) (Abschnitt 2.1, 3.3). Unsupervised Learning (Clustering, Anomalieerkennung, Autoencoders) (2.1)
</t>
    </r>
    <r>
      <rPr>
        <b/>
        <sz val="10"/>
        <color theme="1"/>
        <rFont val="Arial"/>
        <family val="2"/>
      </rPr>
      <t>Methode</t>
    </r>
    <r>
      <rPr>
        <sz val="10"/>
        <color theme="1"/>
        <rFont val="Arial"/>
        <family val="2"/>
      </rPr>
      <t>: Predictive Models, Clustering (K-Means), Neural Networks (Deep Learning), Autoencoders. (3.2)</t>
    </r>
  </si>
  <si>
    <r>
      <rPr>
        <b/>
        <sz val="10"/>
        <color theme="1"/>
        <rFont val="Arial"/>
        <family val="2"/>
      </rPr>
      <t>Klassifikation</t>
    </r>
    <r>
      <rPr>
        <sz val="10"/>
        <color theme="1"/>
        <rFont val="Arial"/>
        <family val="2"/>
      </rPr>
      <t xml:space="preserve">: Predictive AI  und Generative AI (Seite 6 Merging)
</t>
    </r>
    <r>
      <rPr>
        <b/>
        <sz val="10"/>
        <color theme="1"/>
        <rFont val="Arial"/>
        <family val="2"/>
      </rPr>
      <t>Technologie</t>
    </r>
    <r>
      <rPr>
        <sz val="10"/>
        <color theme="1"/>
        <rFont val="Arial"/>
        <family val="2"/>
      </rPr>
      <t xml:space="preserve">: Large Language Models (LLMs) (Seite 5 Evolution)
</t>
    </r>
    <r>
      <rPr>
        <b/>
        <sz val="10"/>
        <color theme="1"/>
        <rFont val="Arial"/>
        <family val="2"/>
      </rPr>
      <t>Methode</t>
    </r>
    <r>
      <rPr>
        <sz val="10"/>
        <color theme="1"/>
        <rFont val="Arial"/>
        <family val="2"/>
      </rPr>
      <t>: Retrieval-Augmented Generation (RAG)  (Seite 26 Glossary/RAG).</t>
    </r>
  </si>
  <si>
    <r>
      <rPr>
        <b/>
        <sz val="10"/>
        <rFont val="Arial"/>
        <family val="2"/>
      </rPr>
      <t>Lernparadigma</t>
    </r>
    <r>
      <rPr>
        <sz val="10"/>
        <rFont val="Arial"/>
        <family val="2"/>
      </rPr>
      <t xml:space="preserve">: Nicht explizit genannt. 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AI-Driven Tools zur Beschleunigung der Cloud-Native-Anwendungsentwicklung (Abschnitt 5). </t>
    </r>
    <r>
      <rPr>
        <b/>
        <sz val="10"/>
        <rFont val="Arial"/>
        <family val="2"/>
      </rPr>
      <t xml:space="preserve">Algorithmen/Tools: </t>
    </r>
    <r>
      <rPr>
        <sz val="10"/>
        <rFont val="Arial"/>
        <family val="2"/>
      </rPr>
      <t>OpenAI CodeX und GitHub Copilot (Code Generation), Testim und Functionize (AI-Based Testing) (Tabelle 5.4).</t>
    </r>
  </si>
  <si>
    <r>
      <rPr>
        <b/>
        <sz val="10"/>
        <rFont val="Arial"/>
        <family val="2"/>
      </rPr>
      <t>Lernparadigma</t>
    </r>
    <r>
      <rPr>
        <sz val="10"/>
        <rFont val="Arial"/>
        <family val="2"/>
      </rPr>
      <t xml:space="preserve">: Nicht primär diskutiert; Fokus auf ML-Systeme (Abschnitt 1 Introduction). 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Implementierung der MLOps-Prinzipien (IV, A. Principles), wie kontinuierliches Training (Continuous ML Training) und Monitoring (A. Principles). </t>
    </r>
    <r>
      <rPr>
        <b/>
        <sz val="10"/>
        <rFont val="Arial"/>
        <family val="2"/>
      </rPr>
      <t>Algorithmen/Tools</t>
    </r>
    <r>
      <rPr>
        <sz val="10"/>
        <rFont val="Arial"/>
        <family val="2"/>
      </rPr>
      <t>: Generell Machine Learning und Deep Learning (Abschnitt 1 Introduction).</t>
    </r>
  </si>
  <si>
    <r>
      <rPr>
        <b/>
        <sz val="10"/>
        <rFont val="Arial"/>
        <family val="2"/>
      </rPr>
      <t>Lernparadigma</t>
    </r>
    <r>
      <rPr>
        <sz val="10"/>
        <rFont val="Arial"/>
        <family val="2"/>
      </rPr>
      <t xml:space="preserve">: Klassische Algorithmen (Abschnitt I. Introduction), Deep Learning Model (Abschnitt I. Introduction). 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MLOps Approach (Titel). </t>
    </r>
    <r>
      <rPr>
        <b/>
        <sz val="10"/>
        <rFont val="Arial"/>
        <family val="2"/>
      </rPr>
      <t>Algorithmen/Tools:</t>
    </r>
    <r>
      <rPr>
        <sz val="10"/>
        <rFont val="Arial"/>
        <family val="2"/>
      </rPr>
      <t xml:space="preserve"> TensorFlow und Kubeflow (Abschnitt 4 Cloud-native pipelines).</t>
    </r>
  </si>
  <si>
    <r>
      <rPr>
        <b/>
        <sz val="10"/>
        <color theme="1"/>
        <rFont val="Arial"/>
        <family val="2"/>
      </rPr>
      <t>CI/CD:</t>
    </r>
    <r>
      <rPr>
        <sz val="10"/>
        <color theme="1"/>
        <rFont val="Arial"/>
        <family val="2"/>
      </rPr>
      <t xml:space="preserve"> Pipelines automatisiert mit KubeFlow, MLFlow, TFX, Jenkins (1.3, 4.4)
</t>
    </r>
    <r>
      <rPr>
        <b/>
        <sz val="10"/>
        <color theme="1"/>
        <rFont val="Arial"/>
        <family val="2"/>
      </rPr>
      <t xml:space="preserve">Infrastruktur: </t>
    </r>
    <r>
      <rPr>
        <sz val="10"/>
        <color theme="1"/>
        <rFont val="Arial"/>
        <family val="2"/>
      </rPr>
      <t>Cloud-Native Architecture, Microservices, Containerization (Docker), Kubernetes (5.2)</t>
    </r>
    <r>
      <rPr>
        <b/>
        <sz val="10"/>
        <color theme="1"/>
        <rFont val="Arial"/>
        <family val="2"/>
      </rPr>
      <t xml:space="preserve">
Monitoring/AIOps:</t>
    </r>
    <r>
      <rPr>
        <sz val="10"/>
        <color theme="1"/>
        <rFont val="Arial"/>
        <family val="2"/>
      </rPr>
      <t xml:space="preserve"> Prometheus, Grafana, ELK Stack zur Observability (5.2)</t>
    </r>
  </si>
  <si>
    <r>
      <rPr>
        <b/>
        <sz val="10"/>
        <color theme="1"/>
        <rFont val="Arial"/>
        <family val="2"/>
      </rPr>
      <t>CI/CD</t>
    </r>
    <r>
      <rPr>
        <sz val="10"/>
        <color theme="1"/>
        <rFont val="Arial"/>
        <family val="2"/>
      </rPr>
      <t xml:space="preserve"> (Build Optimization, Test Case Prioritization)
</t>
    </r>
    <r>
      <rPr>
        <b/>
        <sz val="10"/>
        <color theme="1"/>
        <rFont val="Arial"/>
        <family val="2"/>
      </rPr>
      <t xml:space="preserve">Resource Allocation </t>
    </r>
    <r>
      <rPr>
        <sz val="10"/>
        <color theme="1"/>
        <rFont val="Arial"/>
        <family val="2"/>
      </rPr>
      <t>(dynamische Ressourcenzuweisung). 
Deployment Strategies (Rollbacks, Anomalie-Detektion) (1.3)</t>
    </r>
  </si>
  <si>
    <r>
      <rPr>
        <b/>
        <sz val="10"/>
        <color theme="1"/>
        <rFont val="Arial"/>
        <family val="2"/>
      </rPr>
      <t>MLOps/Orchestration</t>
    </r>
    <r>
      <rPr>
        <sz val="10"/>
        <color theme="1"/>
        <rFont val="Arial"/>
        <family val="2"/>
      </rPr>
      <t xml:space="preserve"> (Kubeflow, Ray) (Seite 20 Evolving)
</t>
    </r>
    <r>
      <rPr>
        <b/>
        <sz val="10"/>
        <color theme="1"/>
        <rFont val="Arial"/>
        <family val="2"/>
      </rPr>
      <t>Infrastruktur</t>
    </r>
    <r>
      <rPr>
        <sz val="10"/>
        <color theme="1"/>
        <rFont val="Arial"/>
        <family val="2"/>
      </rPr>
      <t xml:space="preserve"> (Kubernetes, GPU-Beschleuniger) (Seite 14 Resource Allocation)
</t>
    </r>
    <r>
      <rPr>
        <b/>
        <sz val="10"/>
        <color theme="1"/>
        <rFont val="Arial"/>
        <family val="2"/>
      </rPr>
      <t>Observability</t>
    </r>
    <r>
      <rPr>
        <sz val="10"/>
        <color theme="1"/>
        <rFont val="Arial"/>
        <family val="2"/>
      </rPr>
      <t xml:space="preserve"> (OpenTelemetry, Prometheus) (Seite 17, Seite 21 Opportunities)</t>
    </r>
  </si>
  <si>
    <r>
      <rPr>
        <b/>
        <sz val="10"/>
        <rFont val="Arial"/>
        <family val="2"/>
      </rPr>
      <t>Architektur</t>
    </r>
    <r>
      <rPr>
        <sz val="10"/>
        <rFont val="Arial"/>
        <family val="2"/>
      </rPr>
      <t xml:space="preserve">: Cloud-Native Architecture (Microservices, Containerization) (Abstract). CI/CD Pipelines (Abschnitt 5.2). 
</t>
    </r>
    <r>
      <rPr>
        <b/>
        <sz val="10"/>
        <rFont val="Arial"/>
        <family val="2"/>
      </rPr>
      <t>Infrastruktur</t>
    </r>
    <r>
      <rPr>
        <sz val="10"/>
        <rFont val="Arial"/>
        <family val="2"/>
      </rPr>
      <t>: Kubernetes (Abschnitt 3.1). AIOps/Observability Practices (Abstract).</t>
    </r>
  </si>
  <si>
    <r>
      <rPr>
        <b/>
        <sz val="10"/>
        <rFont val="Arial"/>
        <family val="2"/>
      </rPr>
      <t>Komponenten</t>
    </r>
    <r>
      <rPr>
        <sz val="10"/>
        <rFont val="Arial"/>
        <family val="2"/>
      </rPr>
      <t xml:space="preserve">: CI/CD Component (P1) (IV, B. Technical Components), Workflow Orchestration Component (P2) (IV, C3 Workflow Orchestration), Monitoring Component (P9) (C9 Monitoring Component). 
</t>
    </r>
    <r>
      <rPr>
        <b/>
        <sz val="10"/>
        <rFont val="Arial"/>
        <family val="2"/>
      </rPr>
      <t>Infrastruktur</t>
    </r>
    <r>
      <rPr>
        <sz val="10"/>
        <rFont val="Arial"/>
        <family val="2"/>
      </rPr>
      <t>: Kubernetes, Docker, GitHub Actions (B. Technical Components).</t>
    </r>
  </si>
  <si>
    <r>
      <t xml:space="preserve">Fokus auf Cloud-Native Data Pipeline Design (Abstract). 
</t>
    </r>
    <r>
      <rPr>
        <b/>
        <sz val="10"/>
        <rFont val="Arial"/>
        <family val="2"/>
      </rPr>
      <t>Infrastruktur</t>
    </r>
    <r>
      <rPr>
        <sz val="10"/>
        <rFont val="Arial"/>
        <family val="2"/>
      </rPr>
      <t>: Container-Technologie (Docker) (Abschnitt 2 Containers), Kubernetes (Abschnitt 4 Cloud-native pipelines). MLOps Framework (Abschnitt 2. MLOps).</t>
    </r>
  </si>
  <si>
    <r>
      <rPr>
        <b/>
        <sz val="10"/>
        <color theme="1"/>
        <rFont val="Arial"/>
        <family val="2"/>
      </rPr>
      <t xml:space="preserve">Datenset: </t>
    </r>
    <r>
      <rPr>
        <sz val="10"/>
        <color theme="1"/>
        <rFont val="Arial"/>
        <family val="2"/>
      </rPr>
      <t xml:space="preserve">Open-source, großskalige IoT-Telemetriedaten(5.3)
</t>
    </r>
    <r>
      <rPr>
        <b/>
        <sz val="10"/>
        <color theme="1"/>
        <rFont val="Arial"/>
        <family val="2"/>
      </rPr>
      <t>Metriken</t>
    </r>
    <r>
      <rPr>
        <sz val="10"/>
        <color theme="1"/>
        <rFont val="Arial"/>
        <family val="2"/>
      </rPr>
      <t xml:space="preserve">: Skalierbarkeit,Inference Latency (Latenzzeit), Performance (Training Time, Prediction Accuracy), Reliability (System Recovery Time), Cost-Efficiency (Ressourcennutzung) (5.6) 
</t>
    </r>
    <r>
      <rPr>
        <b/>
        <sz val="10"/>
        <color theme="1"/>
        <rFont val="Arial"/>
        <family val="2"/>
      </rPr>
      <t>Ergebnisse</t>
    </r>
    <r>
      <rPr>
        <sz val="10"/>
        <color theme="1"/>
        <rFont val="Arial"/>
        <family val="2"/>
      </rPr>
      <t>: Cloud-native Architektur erreicht 15.000 requests/sec, was über der Monolithic Baseline (5.200 requests/sec) liegt. Reduzierung der Inference Latency um 65% (6.1)</t>
    </r>
  </si>
  <si>
    <r>
      <rPr>
        <b/>
        <sz val="10"/>
        <rFont val="Arial"/>
        <family val="2"/>
      </rPr>
      <t>Lernparadigma</t>
    </r>
    <r>
      <rPr>
        <sz val="10"/>
        <rFont val="Arial"/>
        <family val="2"/>
      </rPr>
      <t xml:space="preserve">: Supervised Learning (Abschnitt I. Introduction).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Fokus auf ML-Techniken zur Handhabung unausgewogener Daten (Abstract). 
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>: Decision Tree, Random Forest, XGBoost (Abstract), Logistic Regression (LR), Naïve Bayes (NB) (Abschnitt D. ML Modelling).</t>
    </r>
  </si>
  <si>
    <r>
      <rPr>
        <b/>
        <sz val="10"/>
        <rFont val="Arial"/>
        <family val="2"/>
      </rPr>
      <t>Lernparadigma</t>
    </r>
    <r>
      <rPr>
        <sz val="10"/>
        <rFont val="Arial"/>
        <family val="2"/>
      </rPr>
      <t xml:space="preserve">: Nicht explizit genannt. 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Cloud-Native ML. 
</t>
    </r>
    <r>
      <rPr>
        <b/>
        <sz val="10"/>
        <rFont val="Arial"/>
        <family val="2"/>
      </rPr>
      <t>Techniken</t>
    </r>
    <r>
      <rPr>
        <sz val="10"/>
        <rFont val="Arial"/>
        <family val="2"/>
      </rPr>
      <t xml:space="preserve">: Data pipeline efficiency, Model training metrics, Inference performance Abstract). 
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>: Distributed Frameworks wie TensorFlow oder PyTorch (Abschnitt Architectural Components..)</t>
    </r>
  </si>
  <si>
    <r>
      <rPr>
        <b/>
        <sz val="10"/>
        <rFont val="Arial"/>
        <family val="2"/>
      </rPr>
      <t>Lernparadigma</t>
    </r>
    <r>
      <rPr>
        <sz val="10"/>
        <rFont val="Arial"/>
        <family val="2"/>
      </rPr>
      <t xml:space="preserve">: LLM-as-a-Service (LLMaS) (Abstract). Self-Supervised oder Unsupervised Ansätze (implizit für Generative Modelle (Abstract)). 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Training und Serving von Large Generative Models (Abstract). </t>
    </r>
    <r>
      <rPr>
        <b/>
        <sz val="10"/>
        <rFont val="Arial"/>
        <family val="2"/>
      </rPr>
      <t>Techniken</t>
    </r>
    <r>
      <rPr>
        <sz val="10"/>
        <rFont val="Arial"/>
        <family val="2"/>
      </rPr>
      <t>: Low-Rank Adaptation (LoRA) zur Feinabstimmung (Abschnitt Training model inference). Retrieval-Augmented Generation (RAG) (Abschnitt 3. Cloud-Native for LLM-Native).</t>
    </r>
  </si>
  <si>
    <r>
      <rPr>
        <b/>
        <sz val="10"/>
        <rFont val="Arial"/>
        <family val="2"/>
      </rPr>
      <t>Lernparadigmen &amp; Methoden:</t>
    </r>
    <r>
      <rPr>
        <sz val="10"/>
        <rFont val="Arial"/>
        <family val="2"/>
      </rPr>
      <t xml:space="preserve"> Reinforcement Learning (RL) für Optimierungsstrategien (Abschnitt I. Introduction). 
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>: RL-Agent (Abschnitt III. Proposed Methodology), Deep Q-Network (DQN) (Abschnitt Training and Policy Optimization).</t>
    </r>
  </si>
  <si>
    <r>
      <rPr>
        <b/>
        <sz val="10"/>
        <rFont val="Arial"/>
        <family val="2"/>
      </rPr>
      <t>Lernparadigmen &amp; Methoden</t>
    </r>
    <r>
      <rPr>
        <sz val="10"/>
        <rFont val="Arial"/>
        <family val="2"/>
      </rPr>
      <t xml:space="preserve">: Supervised Learning und Unsupervised Learning (Abschnitt 2. Literature Review). Reinforcement Learning für die Auswahl optimaler Gegenmaßnahmen (Abschnitt Automated response component). 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>: LSTM (implizit, da Deep Learning (Abstract)), Autoencoders und Clustering (Abschnitt 3. Proposed Architecture), Random Forests (Abschnitt Threat classification).</t>
    </r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</si>
  <si>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 xml:space="preserve">: Predictive, AI-powered framework (Abstract). 
</t>
    </r>
    <r>
      <rPr>
        <b/>
        <sz val="10"/>
        <rFont val="Arial"/>
        <family val="2"/>
      </rPr>
      <t>Methode</t>
    </r>
    <r>
      <rPr>
        <sz val="10"/>
        <rFont val="Arial"/>
        <family val="2"/>
      </rPr>
      <t xml:space="preserve">: Proaktive Predictive Analytics (Abschnitt 8. Literature Review). 
</t>
    </r>
    <r>
      <rPr>
        <b/>
        <sz val="10"/>
        <rFont val="Arial"/>
        <family val="2"/>
      </rPr>
      <t>Algorithmus</t>
    </r>
    <r>
      <rPr>
        <sz val="10"/>
        <rFont val="Arial"/>
        <family val="2"/>
      </rPr>
      <t>: Long Short-Term Memory (LSTM) neural networks (Abstract).</t>
    </r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</si>
  <si>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 xml:space="preserve">: Machine Learning (ML) (Abstract). 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>: Predictive Analytics (Abschnitt 2.1 Predictive Analytics), Automated Testing (Abschnitt 2.2 Automated Testing), Anomaly Detection (Abschnitt 2.3 Anomaly Detection).</t>
    </r>
  </si>
  <si>
    <r>
      <rPr>
        <b/>
        <sz val="10"/>
        <rFont val="Arial"/>
        <family val="2"/>
      </rPr>
      <t>Lernparadigmen:</t>
    </r>
    <r>
      <rPr>
        <sz val="10"/>
        <rFont val="Arial"/>
        <family val="2"/>
      </rPr>
      <t xml:space="preserve"> AI/ML zur Bereitstellung prädiktiver Einblicke (Abstract). 
</t>
    </r>
    <r>
      <rPr>
        <b/>
        <sz val="10"/>
        <rFont val="Arial"/>
        <family val="2"/>
      </rPr>
      <t>Tools</t>
    </r>
    <r>
      <rPr>
        <sz val="10"/>
        <rFont val="Arial"/>
        <family val="2"/>
      </rPr>
      <t>: IntelliCode und Kite (Code Branching und Commits), DeepCode/Sider (Merges) (Abschnitt 1. AI-Powered Continuous Integration (CI)).</t>
    </r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</si>
  <si>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 xml:space="preserve">: Fokus auf Large-Scale Machine Learning Models (Abstract). Einsatz von Generative AI Modellen wie ChatGPT (Abschnitt II. Cloud-Native Architectures). 
</t>
    </r>
    <r>
      <rPr>
        <b/>
        <sz val="10"/>
        <rFont val="Arial"/>
        <family val="2"/>
      </rPr>
      <t>Strategien</t>
    </r>
    <r>
      <rPr>
        <sz val="10"/>
        <rFont val="Arial"/>
        <family val="2"/>
      </rPr>
      <t>: Microservices-based inference pipeline und Serverless computing (Abschnitt I. Introduction).</t>
    </r>
  </si>
  <si>
    <r>
      <rPr>
        <b/>
        <sz val="10"/>
        <rFont val="Arial"/>
        <family val="2"/>
      </rPr>
      <t>Lernparadigmen:</t>
    </r>
    <r>
      <rPr>
        <sz val="10"/>
        <rFont val="Arial"/>
        <family val="2"/>
      </rPr>
      <t xml:space="preserve"> Supervised Learning (Abschnitt 4.2.1, Abschnitt 4.2.2).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>: Methoden Klassifikation (PCB Quality Inspection) und Aktionserkennung (Inertial Measurement Classification)</t>
    </r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</si>
  <si>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 xml:space="preserve">: Supervised Learning (implizit für Regression/Klassifikation) und Unsupervised Learning (implizit für Anomalieerkennung) (Abschnitt I. Introduction). 
</t>
    </r>
    <r>
      <rPr>
        <b/>
        <sz val="10"/>
        <rFont val="Arial"/>
        <family val="2"/>
      </rPr>
      <t>Methoden</t>
    </r>
    <r>
      <rPr>
        <sz val="10"/>
        <rFont val="Arial"/>
        <family val="2"/>
      </rPr>
      <t xml:space="preserve">: Data Engineering Innovations (Titel). 
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>: Random Forest, XGBoost, CNN, LSTM, BERT (Tabelle 1 Training Time Reduction).</t>
    </r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</si>
  <si>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 xml:space="preserve">: Predictive Maintenance (Abstract, Abschnitt 3.2 Predictive Application and Maintenance), Intelligent Resource Allocation (Abstract), Automated Anomaly Detection (Abstract, Abschnitt 3.3 Advanced Monitoring and Diagnostics). 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>: ML-Algorithmen zur Verbesserung des Cluster-Verhaltens (Abstract).</t>
    </r>
  </si>
  <si>
    <r>
      <rPr>
        <b/>
        <sz val="10"/>
        <rFont val="Arial"/>
        <family val="2"/>
      </rPr>
      <t>Sicherheit</t>
    </r>
    <r>
      <rPr>
        <sz val="10"/>
        <rFont val="Arial"/>
        <family val="2"/>
      </rPr>
      <t>: Intrusion Detection System (IDS) in der Cloud-Umgebung (Abstract). High security (Abschnitt I. Introduction). Verwendung eines Structured Dataset zur Detektion von Angriffen (Abschnitt II. Literature Review).</t>
    </r>
  </si>
  <si>
    <r>
      <rPr>
        <b/>
        <sz val="10"/>
        <rFont val="Arial"/>
        <family val="2"/>
      </rPr>
      <t>Architektur</t>
    </r>
    <r>
      <rPr>
        <sz val="10"/>
        <rFont val="Arial"/>
        <family val="2"/>
      </rPr>
      <t xml:space="preserve">: Cloud-Native Architectures (Containerization, Microservices, Serverless Computing) (Abschnitt The Shift Towards..). 
</t>
    </r>
    <r>
      <rPr>
        <b/>
        <sz val="10"/>
        <rFont val="Arial"/>
        <family val="2"/>
      </rPr>
      <t>Infrastruktur</t>
    </r>
    <r>
      <rPr>
        <sz val="10"/>
        <rFont val="Arial"/>
        <family val="2"/>
      </rPr>
      <t xml:space="preserve">: AWS, Google Cloud, Microsoft Azure (Abschnitt Leveraging Cloud-First...). 
</t>
    </r>
    <r>
      <rPr>
        <b/>
        <sz val="10"/>
        <rFont val="Arial"/>
        <family val="2"/>
      </rPr>
      <t>Monitoring</t>
    </r>
    <r>
      <rPr>
        <sz val="10"/>
        <rFont val="Arial"/>
        <family val="2"/>
      </rPr>
      <t>: Observability (Abschnitt Key Principles of Cloud..), Prometheus und Grafana (Abschnitt Monitoring and Optimization, Seite 933). IaC (Abschnitt Key Principles of Cloud..)</t>
    </r>
  </si>
  <si>
    <r>
      <rPr>
        <b/>
        <sz val="10"/>
        <rFont val="Arial"/>
        <family val="2"/>
      </rPr>
      <t>Architektur</t>
    </r>
    <r>
      <rPr>
        <sz val="10"/>
        <rFont val="Arial"/>
        <family val="2"/>
      </rPr>
      <t xml:space="preserve">: Cloud-Native Computing vs. LLM/AI-Native Computing (Abstract, Abschnitt 3. Cloud-Native for LLM-Native). 
</t>
    </r>
    <r>
      <rPr>
        <b/>
        <sz val="10"/>
        <rFont val="Arial"/>
        <family val="2"/>
      </rPr>
      <t>Infrastruktur</t>
    </r>
    <r>
      <rPr>
        <sz val="10"/>
        <rFont val="Arial"/>
        <family val="2"/>
      </rPr>
      <t xml:space="preserve">: Containerization, Orchestration (Kubernetes) (Abschnitt 3. Cloud-Native for LLM-Native).  </t>
    </r>
    <r>
      <rPr>
        <b/>
        <sz val="10"/>
        <rFont val="Arial"/>
        <family val="2"/>
      </rPr>
      <t>Herausforderung</t>
    </r>
    <r>
      <rPr>
        <sz val="10"/>
        <rFont val="Arial"/>
        <family val="2"/>
      </rPr>
      <t>: GPU-Speicher (High Bandwidth Memory - HBM) (Abschnitt 5 Outlook to the Future).</t>
    </r>
  </si>
  <si>
    <r>
      <t xml:space="preserve">CI/CD Pipelines (Abstract). DevSecOps (Abschnitt I. Introduction). 
</t>
    </r>
    <r>
      <rPr>
        <b/>
        <sz val="10"/>
        <rFont val="Arial"/>
        <family val="2"/>
      </rPr>
      <t>Infrastruktur</t>
    </r>
    <r>
      <rPr>
        <sz val="10"/>
        <rFont val="Arial"/>
        <family val="2"/>
      </rPr>
      <t xml:space="preserve">: Cloud-native/Distributed architecture (Abschnitt Security Impairment Linked to DevOps Pipeline). </t>
    </r>
    <r>
      <rPr>
        <b/>
        <sz val="10"/>
        <rFont val="Arial"/>
        <family val="2"/>
      </rPr>
      <t>Observability</t>
    </r>
    <r>
      <rPr>
        <sz val="10"/>
        <rFont val="Arial"/>
        <family val="2"/>
      </rPr>
      <t>: Prometheus und Grafana (Tabelle 3 Feature Categories).</t>
    </r>
  </si>
  <si>
    <r>
      <rPr>
        <b/>
        <sz val="10"/>
        <rFont val="Arial"/>
        <family val="2"/>
      </rPr>
      <t>Infrastruktur/Cloud</t>
    </r>
    <r>
      <rPr>
        <sz val="10"/>
        <rFont val="Arial"/>
        <family val="2"/>
      </rPr>
      <t xml:space="preserve">: AWS (EC2 und RDS instances) (Abstract). AIOps/Monitoring: AWS CloudWatch (Abstract). 
</t>
    </r>
    <r>
      <rPr>
        <b/>
        <sz val="10"/>
        <rFont val="Arial"/>
        <family val="2"/>
      </rPr>
      <t>Skalierung</t>
    </r>
    <r>
      <rPr>
        <sz val="10"/>
        <rFont val="Arial"/>
        <family val="2"/>
      </rPr>
      <t>: AWS Boto3 SDK (Abschnitt 3.7 Scaling Execution).</t>
    </r>
  </si>
  <si>
    <r>
      <rPr>
        <b/>
        <sz val="10"/>
        <rFont val="Arial"/>
        <family val="2"/>
      </rPr>
      <t>Experiment</t>
    </r>
    <r>
      <rPr>
        <sz val="10"/>
        <rFont val="Arial"/>
        <family val="2"/>
      </rPr>
      <t xml:space="preserve">: Vergleich verschiedener ML-Modelle auf unausgewogenen Daten (Abschnitt IV. Results and Analysis)(Abschnitt A. Dataset description). </t>
    </r>
    <r>
      <rPr>
        <b/>
        <sz val="10"/>
        <rFont val="Arial"/>
        <family val="2"/>
      </rPr>
      <t>Metriken</t>
    </r>
    <r>
      <rPr>
        <sz val="10"/>
        <rFont val="Arial"/>
        <family val="2"/>
      </rPr>
      <t xml:space="preserve">: Accuracy, Recall, Precision, F1 score (Abschnitt E. Performance measures). 
</t>
    </r>
    <r>
      <rPr>
        <b/>
        <sz val="10"/>
        <rFont val="Arial"/>
        <family val="2"/>
      </rPr>
      <t>Ergebnisse</t>
    </r>
    <r>
      <rPr>
        <sz val="10"/>
        <rFont val="Arial"/>
        <family val="2"/>
      </rPr>
      <t>: DT, RF, und XGBoost erreichen 100% Genauigkeit, wobei DT und RF die geringste Trainingsdauer aufweisen (Abstract, Tabelle II).</t>
    </r>
  </si>
  <si>
    <r>
      <rPr>
        <b/>
        <sz val="10"/>
        <rFont val="Arial"/>
        <family val="2"/>
      </rPr>
      <t>Experiment</t>
    </r>
    <r>
      <rPr>
        <sz val="10"/>
        <rFont val="Arial"/>
        <family val="2"/>
      </rPr>
      <t xml:space="preserve">: Evaluation des Cloud-Native ML Frameworks auf AWS, Google Cloud, Azure (Abschnitt Leveraging Cloud-First Infrastructures, Seite 933). 
</t>
    </r>
    <r>
      <rPr>
        <b/>
        <sz val="10"/>
        <rFont val="Arial"/>
        <family val="2"/>
      </rPr>
      <t>Metriken</t>
    </r>
    <r>
      <rPr>
        <sz val="10"/>
        <rFont val="Arial"/>
        <family val="2"/>
      </rPr>
      <t xml:space="preserve">: Accuracy, Precision, Recall, F1-score (Abschnitt Statistical Analysis for Model Evaluation). </t>
    </r>
    <r>
      <rPr>
        <b/>
        <sz val="10"/>
        <rFont val="Arial"/>
        <family val="2"/>
      </rPr>
      <t>Ergebnisse</t>
    </r>
    <r>
      <rPr>
        <sz val="10"/>
        <rFont val="Arial"/>
        <family val="2"/>
      </rPr>
      <t>: AWS hatte beste GPU/TPU Utilization (85%) und niedrigste Latenz (50 ms) (Tabelle 1). Real-Time Inference hatte niedrigere Latenz (50ms) als Batch (100ms) (Tabelle 4).</t>
    </r>
  </si>
  <si>
    <r>
      <rPr>
        <b/>
        <sz val="10"/>
        <rFont val="Arial"/>
        <family val="2"/>
      </rPr>
      <t>Experiment</t>
    </r>
    <r>
      <rPr>
        <sz val="10"/>
        <rFont val="Arial"/>
        <family val="2"/>
      </rPr>
      <t xml:space="preserve">: Fokus auf Elasticity des Systems (Abschnitt 4 Preliminary AI-Native Computing). 
</t>
    </r>
    <r>
      <rPr>
        <b/>
        <sz val="10"/>
        <rFont val="Arial"/>
        <family val="2"/>
      </rPr>
      <t>Ergebnisse</t>
    </r>
    <r>
      <rPr>
        <sz val="10"/>
        <rFont val="Arial"/>
        <family val="2"/>
      </rPr>
      <t>: LoRA-Inferenz kann schnell geladen werden (Figure 2). LoRA Batch Inference erreicht 1,250 requests/sec (Figure 2).</t>
    </r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</si>
  <si>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>: Supervised Learning (für Predictive Failure Detection (Abschnitt AI and Machine Learning in Software Engineering)). Unsupervised Learning (für Anomaly Detection mittels Clustering/Autoencoders (Abschnitt Automated Rollbacks)). Reinforcement Learning (RL) (Abschnitt Reinforcement Learning for Optimized Rollbacks). Algorithmen: Decision trees, Random forests, neural networks, RNNs (Abschnitt Machine Learning Models for Failure Prediction).</t>
    </r>
  </si>
  <si>
    <t xml:space="preserve">Ein vorgeschlagenes Cloud-natives Framework (4. Framework) zur Bewältigung der Herausforderungen bei großskaligem Predictive Modeling. Architektur: Beschreibung einer modularen, skalierbaren und robusten Cloud-Native Architecture (1.5) </t>
  </si>
  <si>
    <t>CI/CD (Jenkins). 
Infrastruktur: Kubernetes Cluster auf AWS EKS (Abschnitt 3B.). Security Monitoring (IBM Watson, Microsoft Sentinel) (3D). 
Monitoring (Prometheus, Grafana)(3F).</t>
  </si>
  <si>
    <t>Titel (Autor)</t>
  </si>
  <si>
    <t>Hauptbereich (Zentrales Thema des Papers)</t>
  </si>
  <si>
    <t>Sekundärbereiche (Weitere angesprochene PE-Aspekte)</t>
  </si>
  <si>
    <t>Cloud-Native Architectures for Large-Scale AI-Based Predictive Modeling (Muhammad Talha Tahir Bajwa et al.)</t>
  </si>
  <si>
    <t>AI/ML – DevOps Automation (Sudheer Amgothu, Giridhar Kankanala)</t>
  </si>
  <si>
    <t>Enhancing DevOps Efficiency through AI-Driven Predictive Models for Continuous Integration and Deployment Pipelines (Aliyu Enemosah)</t>
  </si>
  <si>
    <t>Cloud Native Artifical Intelligence (Zaalouk et al.)</t>
  </si>
  <si>
    <t>Cloud-Native Application Development for AI-Conducive Architectures (Vijay Kartik Sikha)</t>
  </si>
  <si>
    <t>Machine Learning Operations (MLOps): Overview, Definition, and Architecture (Kreuzberger et al)</t>
  </si>
  <si>
    <t>Cloud-Native ML: Architecting AI Solutions for Cloud-First Infrastructures (Abhishek Gupta et al.)</t>
  </si>
  <si>
    <t>Machine Learning Based Approach for Handling Imbalanced Data for Intrusion Detection in the Cloud Environment (Vijay Govindarajan)</t>
  </si>
  <si>
    <t>AI-Enhanced Continuous Integration and Continuous Deployment Pipelines: Leveraging Machine Learning Models for Predictive Failure Detection, Automated Rollbacks, and Adaptive Deployment Strategies in Agile Software Development (Venkata Mohit Tamanampudi)</t>
  </si>
  <si>
    <t>The Role of Cloud-Native Architectures in Accelerating Machine Learning Workflows through Data Engineering Innovations (Karthik Puthraya et al.)</t>
  </si>
  <si>
    <t>MLOps approach in the cloud-native data pipeline design (István Pölöskei)</t>
  </si>
  <si>
    <t>Cybersecurity Risk Modeling in CI/CD Pipelines Using Reinforcement Learning for Test Optimization (Gopinath Kathiresan)</t>
  </si>
  <si>
    <t>Computing in the Era of Large Generative Models: From cloud-native to ai-native (Lu, Y. et al.)</t>
  </si>
  <si>
    <t>Integrating AI into DevOps: Leveraging Machine Learning for Intelligent Automation in Azure (Satheesh Reddy Gopireddy)</t>
  </si>
  <si>
    <t>Integrating AI into DevOps pipelines: Continuous integration, continuous delivery, and automation in infrastructural management: Projections for future (Suprit Pattanayak)</t>
  </si>
  <si>
    <t>Cloud-Native AI: Challenges and Innovations in Deploying Large-Scale Machine Learning Models (Rahul Amte)</t>
  </si>
  <si>
    <t>Platform-Agnostic MLOps on Edge, Fog and Cloud Platforms in Industrial IoT (Alexander Keusch et al)</t>
  </si>
  <si>
    <t>MLOps Monitoring/Forecast Stability (Yu Jeffrey Hu et al.)</t>
  </si>
  <si>
    <t>Automating Kubernetes Operations with AI: A Comprehensive Approach for Enhanced Efficiency, Security, and Resource Optimization (Tamminedi et al.)</t>
  </si>
  <si>
    <t>Kubernetes / Orchestrierung (Fokus auf Cloud-native Architektur, Microservices, Containerization und Kubernetes als Fundament für skalierbares AI/ML).</t>
  </si>
  <si>
    <t>Resource Allocation / Scaling (Elastizität, Auto-scaling (HPA)). Monitoring / AIOps (Observability, Prometheus, Grafana). CI/CD / Testing (CI/CD Pipelines, Retraining). MLOps Tools (Spezifisch) (Kubeflow, MLFlow, TFX, Jenkins).</t>
  </si>
  <si>
    <t>CI/CD / Testing (Integration von AI zur Automatisierung und Verbesserung der CI/CD Pipelines, zur Fehlererkennung und Reduzierung der Deployment-Zeiten).</t>
  </si>
  <si>
    <t>Resource Allocation / Scaling (AI/ML Workload Optimization und Auto-Scaling). Security / DevSecOps (Threat Detection und Security Monitoring). Kubernetes / Orchestrierung (Kubernetes Cluster Configuration). Monitoring / AIOps (Performance Monitoring, Prometheus, Grafana).</t>
  </si>
  <si>
    <t>CI/CD / Testing (Steigerung der Effizienz und Zuverlässigkeit von CI/CD-Pipelines durch Predictive Models).</t>
  </si>
  <si>
    <t>Resource Allocation / Scaling (Resource Allocation, Dynamic Scaling (Abschnitt 1.3, 3.3 in P3, siehe)). Monitoring / AIOps (Anomaly Detection, Monitoring).</t>
  </si>
  <si>
    <t>Kubernetes / Orchestrierung (Darstellung von Kubernetes als grundlegendes Orchestrierungs- und Containerisierungs-Framework für AI-Workloads (Running AI on CN Infrastructure, S. 8, siehe)).</t>
  </si>
  <si>
    <t>Resource Allocation / Scaling (Dynamic Resource Allocation (DRA), Right-Sizing, Cost Control). Monitoring / AIOps (Observability, OpenTelemetry, Prometheus). Security / DevSecOps (Data Governance, Privacy and Security). CI/CD / Testing (Model Delivery (CI/CD)). MLOps Tools (Spezifisch) (Kubeflow, Ray, KubeRay, MLOps).</t>
  </si>
  <si>
    <t>Kubernetes / Orchestrierung (Design der Cloud-Native Architektur, Microservices und Containerization als skalierbare Grundlage für AI/ML-Anwendungen).</t>
  </si>
  <si>
    <t>CI/CD / Testing (CI/CD Pipelines, Automated Code Generation und Testing). Security / DevSecOps (Zero Trust, Automated Security Testing, Incident Response). Resource Allocation / Scaling (Resource utilization optimization). Monitoring / AIOps (Observability practices).</t>
  </si>
  <si>
    <t>MLOps Tools (Spezifisch) (Detaillierte Definition der MLOps-Architektur und ihrer Komponenten, wie Feature Stores, Workflow Orchestration und Model Serving, unter Nennung spezifischer Tools wie Kubeflow, MLFlow und Airflow).</t>
  </si>
  <si>
    <t>CI/CD / Testing (CI/CD-Integration, Model Training (Continuous Training)). Monitoring / AIOps (Continuous Monitoring, Feedback Loops (P9, P7)). Security / DevSecOps (Governance und Security als operative Herausforderung).</t>
  </si>
  <si>
    <t>Kubernetes / Orchestrierung (Design der Cloud-Native ML-Architektur, mit Fokus auf Containerization, Microservices und Orchestrierungstools wie Kubernetes).</t>
  </si>
  <si>
    <t>MLOps Tools (Spezifisch) (Feature Stores (Feast), Data Orchestration (Apache Airflow)). Resource Allocation / Scaling (Resource Optimization, Cost Efficiency).</t>
  </si>
  <si>
    <t>Security / DevSecOps (Fokus auf Intrusion Detection in Cloud-Umgebungen und die Klassifizierung von Cloud-Angriffen mittels ML).</t>
  </si>
  <si>
    <t>Monitoring / AIOps (Der Bereich Intrusion Detection steht in engem Zusammenhang mit AIOps/Anomaly Detection (Abstract, Abschnitt V)).</t>
  </si>
  <si>
    <t>CI/CD / Testing (Die zentrale Forschung konzentriert sich auf die Verbesserung von CI/CD durch Predictive Failure Detection, Automated Rollbacks und Adaptive Deployment Strategies).</t>
  </si>
  <si>
    <t>Monitoring / AIOps (Anomaly Detection und Monitoring von KPIs (Latency, Error Rates, Resource Usage)). Resource Allocation / Scaling (Adaptive Deployment Strategies und Dynamic Resource Scaling). Kubernetes / Orchestrierung (Nutzung von Kubernetes/Docker für Model Deployment und Serving). Security / DevSecOps (Data Privacy and Security).</t>
  </si>
  <si>
    <t>Kubernetes / Orchestrierung (Microservices, Containerization, Serverless Computing, Orchestration, sowie Kubernetes zur Resource Allocation und Fehlerbehebung).</t>
  </si>
  <si>
    <t>Resource Allocation / Scaling (Resource Optimization, Cost Efficiency, Skalierbarkeit). Monitoring / AIOps (Monitoring von Latenz und Fehlerraten). MLOps Tools (Spezifisch) (Kubeflow, MLFlow, TFX, Event-driven Architectures).</t>
  </si>
  <si>
    <t>MLOps Tools (Spezifisch) (Fokus auf den MLOps-Ansatz im Cloud-Native-Kontext, die Komponenten des End-to-End-Workflows und spezifische Tools wie Kubeflow und TFX).</t>
  </si>
  <si>
    <t>Kubernetes / Orchestrierung (Container-Technologie (Docker), Kubernetes). Monitoring / AIOps (Modell-Validierung und Monitoring).</t>
  </si>
  <si>
    <t>Security / DevSecOps (Cybersecurity Risk Modeling, DevSecOps und die Abwehr von Cyber-Bedrohungen durch RL).</t>
  </si>
  <si>
    <t>CI/CD / Testing (CI/CD Pipelines, Test Optimization/Prioritization). Resource Allocation / Scaling (Maximierung der Ressourcenauslastung). Monitoring / AIOps (Security Monitoring).</t>
  </si>
  <si>
    <t>Kubernetes / Orchestrierung (Anpassung von Cloud-Native-Konzepten (Containerization, Orchestration, Kubernetes) an die Herausforderungen großer Generativer Modelle (LLMs)).</t>
  </si>
  <si>
    <t>Resource Allocation / Scaling (Service Availability, Resource Management, Cost Optimization). Monitoring / AIOps (AIOps, Monitoring). MLOps Tools (Spezifisch) (Retrieval-Augmented Generation (RAG), Vector Databases).</t>
  </si>
  <si>
    <t>CI/CD / Testing (Integration von AI in DevOps zur intelligenten Automatisierung, mit Fokus auf verbesserte CI/CD und automatisierte Tests).</t>
  </si>
  <si>
    <t>Resource Allocation / Scaling (Continuous Optimization der Resource Allocation [Abstrakt, siehe]). Monitoring / AIOps (Continuous Monitoring (Abschnitt 4.2 in P16, nicht in den Auszügen enthalten, aber basierend auf P2/P17 ähnlich).</t>
  </si>
  <si>
    <t>CI/CD / Testing (Fokus auf AI-Powered Continuous Integration (CI), Continuous Delivery (CD) und die Automatisierung von Builds und Testing-Prozessen in der Pipeline).</t>
  </si>
  <si>
    <t>Resource Allocation / Scaling (AI-Powered Automated Infrastructure (Abschnitt 2.8), Predictive Resource Management). Security / DevSecOps (Security Enhancement, Data Privacy). MLOps Tools (Spezifisch) (Deployment Orchestrierung (Spinnaker)).</t>
  </si>
  <si>
    <t>Kubernetes / Orchestrierung (Diskussion von Cloud-Native Architekturen, Containerization und Kubernetes als Methoden zur Skalierung und Fehlerbehebung von ML-Workloads).</t>
  </si>
  <si>
    <t>Resource Allocation / Scaling (Autoscaling, Resource Allocation, Cost Optimization). Security / DevSecOps (Data Privacy, Regulatory Compliance). Monitoring / AIOps (Observability).</t>
  </si>
  <si>
    <r>
      <t xml:space="preserve">MLOps Tools (Spezifisch) (Vorstellung und Evaluierung eines </t>
    </r>
    <r>
      <rPr>
        <i/>
        <sz val="10"/>
        <rFont val="Arial"/>
        <family val="2"/>
      </rPr>
      <t>plattform-agnostischen</t>
    </r>
    <r>
      <rPr>
        <sz val="10"/>
        <rFont val="Arial"/>
        <family val="2"/>
      </rPr>
      <t xml:space="preserve"> MLOps-Frameworks zur nahtlosen Bereitstellung von ML-Modellen über Edge, Fog und Cloud).</t>
    </r>
  </si>
  <si>
    <t>Resource Allocation / Scaling (Resource Constraints, Energy Consumption). Kubernetes / Orchestrierung (Deployment auf Docker-fähigen Geräten). Monitoring / AIOps (Monitoring/Data visualization). Security / DevSecOps (Privacy-aware approach).</t>
  </si>
  <si>
    <t>Monitoring / AIOps (Vorstellung des MLMA Frameworks zur kontinuierlichen Überwachung der Forecast Performance und zur Erkennung von Concept Drift in Streaming-Daten).</t>
  </si>
  <si>
    <t>CI/CD / Testing (Automated Re-training und Workflow Automation). Resource Allocation / Scaling (Computing Costs Optimierung).</t>
  </si>
  <si>
    <t>Kubernetes / Orchestrierung (Fokus auf die Automatisierung von Kubernetes-Operationen durch AI zur Verbesserung der Effizienz und Zuverlässigkeit der Container-Orchestrierung).</t>
  </si>
  <si>
    <t>Resource Allocation / Scaling (Intelligent Resource Allocation, Resource Optimization). Security / DevSecOps (Security Enhancement, ML-based security models). Monitoring / AIOps (Predictive Maintenance, Advanced Monitoring and Diagnostics).</t>
  </si>
  <si>
    <t xml:space="preserve">Resource Allocation / Scalling </t>
  </si>
  <si>
    <t>Monitoring/ AIOps, Kubernetes Orchestrierung, MLOps Tools</t>
  </si>
  <si>
    <t>P11 (Kathiresan)</t>
  </si>
  <si>
    <t>P12 (Uddoh)</t>
  </si>
  <si>
    <t>P13 (Poudel)</t>
  </si>
  <si>
    <t>P14 (Tamanampudi)</t>
  </si>
  <si>
    <t>P15 (Gopireddy)</t>
  </si>
  <si>
    <t>P16 (Pattanayak)</t>
  </si>
  <si>
    <t>P17 (Amte)</t>
  </si>
  <si>
    <t>P18 (Alexander Kusch et al.)</t>
  </si>
  <si>
    <t>P20 (Puthraya)</t>
  </si>
  <si>
    <t>P21 (Tamminedi)</t>
  </si>
  <si>
    <t>Predicitve Maintenance</t>
  </si>
  <si>
    <t>automatisierter Überwachung von regulatorischer Compliance und Sicherheit</t>
  </si>
  <si>
    <t>Ensemble &amp; Baum-basiert</t>
  </si>
  <si>
    <t>Klassische Klassifikation/ regression</t>
  </si>
  <si>
    <t xml:space="preserve">Clustering </t>
  </si>
  <si>
    <t>CNNs, RNNs</t>
  </si>
  <si>
    <t>XGBoost, Random Forest</t>
  </si>
  <si>
    <t>Clustering, K-Means-Clustering</t>
  </si>
  <si>
    <t>Neuronale Netze (Deep Learning), CNNs, RNNS, Autoencoders, GANs</t>
  </si>
  <si>
    <t>Convolutional Neural Networks (CNNs), Transformer, Large Language Models (LLM), RAG, Deep Learning</t>
  </si>
  <si>
    <t>Generative AI, LLMs, Deep Learning</t>
  </si>
  <si>
    <t xml:space="preserve">LLMs, Autoencoders, DL </t>
  </si>
  <si>
    <t>CNNs und Autoencoder für Intrusion Detection genannt.</t>
  </si>
  <si>
    <t>Decision Tree (DT), Random Forest (RF), XGBoost</t>
  </si>
  <si>
    <t>Logistic Regression (LR) und Gaussian Naive Bayes (GNB), Support Vector Machine (SVM), KNN</t>
  </si>
  <si>
    <t>K-means</t>
  </si>
  <si>
    <t>Statische Analyse</t>
  </si>
  <si>
    <t>Large Generative Models (LLMs), Transformer, RAG, DL</t>
  </si>
  <si>
    <t>Regression, Classification, Support Vector Machines (SVM), Logistic Regression</t>
  </si>
  <si>
    <t>Discriminative AI (Klassifikation)</t>
  </si>
  <si>
    <t>Clustering</t>
  </si>
  <si>
    <t>Deep Learning, Klassifikation</t>
  </si>
  <si>
    <t>Klassisches ML</t>
  </si>
  <si>
    <t>Decision Trees (DT), RF</t>
  </si>
  <si>
    <t>RF</t>
  </si>
  <si>
    <t>Regression als ML Technik</t>
  </si>
  <si>
    <t>Clustering, Principal Component Analysis</t>
  </si>
  <si>
    <t>DT,  RF, Isolation Forests</t>
  </si>
  <si>
    <t>NN,  Autoencoders, RNNs, Deep-Q-Networks (DQN)</t>
  </si>
  <si>
    <t>DL, NN, Natural language processing (NLP)</t>
  </si>
  <si>
    <t>CNN, LSTM, BERT</t>
  </si>
  <si>
    <t>Regression modelling</t>
  </si>
  <si>
    <t>Principal Component Analysis</t>
  </si>
  <si>
    <t>Data privacy, regulatory compliance (Abschnitt III, Security). Fedearted learning and  explainable AI (XAI) (Abschnitt Security).</t>
  </si>
  <si>
    <t>Data Privacy and Security Issues (Compliance, GDPR) (Abschnitt 2.1, 4.1). Model Explainability.</t>
  </si>
  <si>
    <t>Ressourcenverbrauch &amp; Kosten</t>
  </si>
  <si>
    <t>Integration Complexity , Dependence on Vendor Support (2.7)</t>
  </si>
  <si>
    <t>Skalierbarkeit, Latenz &amp; Monitoring</t>
  </si>
  <si>
    <t>Autor: István Pölöskei 
2021
ACTA TECHNICA JAURINENSIS (Journal)</t>
  </si>
  <si>
    <t>Autor: Abhishek Gupta et al.
2024 
Nanotechnology Perceptions (journal)</t>
  </si>
  <si>
    <t>Autor: Venkata Mohit Tamanampudi. 
2024 
Distributed Learning and Broad Applications in Scientific Research (Journal)</t>
  </si>
  <si>
    <t>Lu et al.</t>
  </si>
  <si>
    <t>Data is labeled (requirement für SL)</t>
  </si>
  <si>
    <t>Classification tasks zur Intrustion Detection
Logistic Regression
.. (D ML Modelling)</t>
  </si>
  <si>
    <t>Wird explizit gennant aber es wird eher RL empfohlen ( IV)</t>
  </si>
  <si>
    <t xml:space="preserve">Failure predicition, anomaly detetcion </t>
  </si>
  <si>
    <t>Hybrid clustering und k-emans with random forest (RF eigentlich SL)</t>
  </si>
  <si>
    <t>UL Verfahren zur Analyse der variablen (durch PCA)</t>
  </si>
  <si>
    <t>ML algorthmen allgemein (raus lassen)</t>
  </si>
  <si>
    <t>Predicting potential failure, proactve maintenance (PM &amp; SH), enhancing resilience (SH)</t>
  </si>
  <si>
    <t>Security Tools</t>
  </si>
  <si>
    <t xml:space="preserve">Ab 6.2.1 </t>
  </si>
  <si>
    <t xml:space="preserve">Hier werden viele Security  Tools genannt </t>
  </si>
  <si>
    <t>Data management
Real-time data availability
High-throughput data ingestion
Real-time processing (Abschnitt 2)</t>
  </si>
  <si>
    <t>Optimierung von CI/CD-Pipelines</t>
  </si>
  <si>
    <t>Resilienz, Self-Healing und Predictive Maintenance</t>
  </si>
  <si>
    <t>Intelligente Bereitstellung (Edge-AI &amp; Serverless)</t>
  </si>
  <si>
    <t xml:space="preserve">AI Governance, Datenschutz und Compliance </t>
  </si>
  <si>
    <t xml:space="preserve">Integrationskomplexität &amp; Abhängigkeiten </t>
  </si>
  <si>
    <t xml:space="preserve">Datenqualität, Datenverfügbarkeit und Heterogenität </t>
  </si>
  <si>
    <t>Monitoring/ Deteection Anomalie</t>
  </si>
  <si>
    <t xml:space="preserve">Error predicition, System resilience </t>
  </si>
  <si>
    <t>Zukünftiger Use case (6.1)</t>
  </si>
  <si>
    <t>Real-time predictions/inference</t>
  </si>
  <si>
    <t>Monitoring potential errors and anomalies</t>
  </si>
  <si>
    <t>Integration (ML Tools)</t>
  </si>
  <si>
    <t xml:space="preserve">Fault tolerance Disaster </t>
  </si>
  <si>
    <t>Failure recovery (Abschnitt 5)</t>
  </si>
  <si>
    <t xml:space="preserve">AI driven IaC, intelligent Conitonous Delivery </t>
  </si>
  <si>
    <t>P19  (Josson Paul Kalapparambath.)</t>
  </si>
  <si>
    <t>Autor: Josson Paul Kalapparambath
2025
Journal</t>
  </si>
  <si>
    <t>Vorwärts aus P10</t>
  </si>
  <si>
    <t>Advancing Distributed Systems with Reinforcement Learning: A New Frontier in AI-Integrated Software Engineering</t>
  </si>
  <si>
    <t>Josson Paul Kalapparambath et al.</t>
  </si>
  <si>
    <t>P19  (Josson Paul Kalapparambath)</t>
  </si>
  <si>
    <t xml:space="preserve">RL </t>
  </si>
  <si>
    <t>Deployment Vorhersage
Automated testing/ Fehlererkennung</t>
  </si>
  <si>
    <t>Resourcenallokation
Lastverteilung</t>
  </si>
  <si>
    <t>Anomalierkennung</t>
  </si>
  <si>
    <t>Automatiserte Störungsbehebung
Aufallvermeidung</t>
  </si>
  <si>
    <t>Latenzoptimieierung</t>
  </si>
  <si>
    <t>Hoher Rechenaufwand</t>
  </si>
  <si>
    <t>Echtzeitanforderung</t>
  </si>
  <si>
    <t>Transparenz/ Nachvollziehbarkeit
Sicherheit Robustheit</t>
  </si>
  <si>
    <t>Integrationskomplexität</t>
  </si>
  <si>
    <t>Nur Info, dass es auf labeld daten basiert</t>
  </si>
  <si>
    <t>Deep Q-Networks
Proximal policy Optimization
Q-learning</t>
  </si>
  <si>
    <t>Traditional heuristic methods
Rule-based systems</t>
  </si>
  <si>
    <r>
      <rPr>
        <b/>
        <sz val="10"/>
        <rFont val="Arial"/>
        <family val="2"/>
      </rPr>
      <t>Lernparadigmen</t>
    </r>
    <r>
      <rPr>
        <sz val="10"/>
        <rFont val="Arial"/>
        <family val="2"/>
      </rPr>
      <t xml:space="preserve">: Reinforcement Learnning
</t>
    </r>
    <r>
      <rPr>
        <b/>
        <sz val="10"/>
        <rFont val="Arial"/>
        <family val="2"/>
      </rPr>
      <t>Algorithmen</t>
    </r>
    <r>
      <rPr>
        <sz val="10"/>
        <rFont val="Arial"/>
        <family val="2"/>
      </rPr>
      <t xml:space="preserve">: Deep Q-Networks
Proximal policy Optimization
Q-learning
</t>
    </r>
  </si>
  <si>
    <t>Forschungsartikel 
Die Evaluation basiert auf umfangreichen Experimenten und statistischen Analysen.</t>
  </si>
  <si>
    <t xml:space="preserve"> Empirischer Forschungsartike</t>
  </si>
  <si>
    <t xml:space="preserve">Integrationskomplexität &amp; Kosten
Zukünftig: entiwkclung effizienter algorithmen und federated learning und transfer learning </t>
  </si>
  <si>
    <t>Resourcen &amp; Workload Optimierung</t>
  </si>
  <si>
    <t>Verteilten Systemen (Distributed Systems)
Rückgrat des modernen Computing und umfassen Bereiche wie Cloud Computing, IoT-Netzwerke und Big Data Analytics</t>
  </si>
  <si>
    <t>Ressourcen &amp; Workload Optimierung</t>
  </si>
  <si>
    <t>Sicherheits und Bedrohungserkennung:</t>
  </si>
  <si>
    <t>TensorFlow, PyTorch</t>
  </si>
  <si>
    <t>Defintionen</t>
  </si>
  <si>
    <t>A Principles</t>
  </si>
  <si>
    <t xml:space="preserve">Hiervon kann viel für den Grundlagen teil abgeleitet werden </t>
  </si>
  <si>
    <t>Continuous Monitoring (Model Drift, Prediction Accuracy). Prometheus, Grafana (Abschnitt C9 Seite 7), IBM Watson (C8)</t>
  </si>
  <si>
    <t>training infrastructure provides the foundational computation resources (C5)</t>
  </si>
  <si>
    <t>Drift detetcion (C9 monitoring)
Abschnitt</t>
  </si>
  <si>
    <t xml:space="preserve">Resilienz, Self-healing und Predictive Maintenance </t>
  </si>
  <si>
    <t xml:space="preserve">Nur erwähnt </t>
  </si>
  <si>
    <t>RLHF/DPO erwähnt, aber kein RL-Anwendungsfall</t>
  </si>
  <si>
    <t>Woche </t>
  </si>
  <si>
    <t>Zeitraum </t>
  </si>
  <si>
    <t>ToDo </t>
  </si>
  <si>
    <t>Info </t>
  </si>
  <si>
    <t>Woche 1 </t>
  </si>
  <si>
    <t>03. Nov </t>
  </si>
  <si>
    <t>Suchstrings finalisieren, Basispaper prüfen </t>
  </si>
  <si>
    <t>Mapping Study Start gemäß Petersen/Wohlin </t>
  </si>
  <si>
    <t>Woche 2 </t>
  </si>
  <si>
    <t>10. Nov </t>
  </si>
  <si>
    <t>Paper-Sichtung &amp; erste Datenextraktion </t>
  </si>
  <si>
    <t>Datenextraktion nach Tabelle 3.2 </t>
  </si>
  <si>
    <t>Woche 3 </t>
  </si>
  <si>
    <t>17. Nov </t>
  </si>
  <si>
    <t>Paper-Analyse fortsetzen, Extraktion vervollständigen </t>
  </si>
  <si>
    <t>Analyse der KI-Ansätze </t>
  </si>
  <si>
    <t>Woche 4 </t>
  </si>
  <si>
    <t>24. Nov </t>
  </si>
  <si>
    <t>Datenextraktion abschließen, Kategorien bilden </t>
  </si>
  <si>
    <t>Kategorien gemäß Platform-Engineering-Bereichen </t>
  </si>
  <si>
    <t>Woche 5 </t>
  </si>
  <si>
    <t>01. Dez </t>
  </si>
  <si>
    <t>Datensynthese vorbereiten </t>
  </si>
  <si>
    <t>Synthesis entlang RQs </t>
  </si>
  <si>
    <t>Woche 6 </t>
  </si>
  <si>
    <t>08. Dez </t>
  </si>
  <si>
    <t>Quantitative Analyse erstellen </t>
  </si>
  <si>
    <t>Statistische Übersicht erstellen </t>
  </si>
  <si>
    <t>Woche 7 </t>
  </si>
  <si>
    <t>15. Dez </t>
  </si>
  <si>
    <t>Mapping Study Kapitel schreiben </t>
  </si>
  <si>
    <t>Kapitel 4 ausformulieren </t>
  </si>
  <si>
    <t>Woche 8 </t>
  </si>
  <si>
    <t>22. Dez </t>
  </si>
  <si>
    <t>Mapping Study finalisieren </t>
  </si>
  <si>
    <t>Review + Konsistenzcheck </t>
  </si>
  <si>
    <t>Woche 9 </t>
  </si>
  <si>
    <t>29. Dez </t>
  </si>
  <si>
    <t>Start Framework-Konzeption (Kriterien sammeln) </t>
  </si>
  <si>
    <t>RQ3 Beginn </t>
  </si>
  <si>
    <t>Woche 10 </t>
  </si>
  <si>
    <t>05. Jan </t>
  </si>
  <si>
    <t xml:space="preserve">Framework strukturieren </t>
  </si>
  <si>
    <t>Kriterien definieren</t>
  </si>
  <si>
    <t>Woche 11 </t>
  </si>
  <si>
    <t>12. Jan </t>
  </si>
  <si>
    <t>Framework ausarbeiten </t>
  </si>
  <si>
    <t>Kapitel 5 schreiben </t>
  </si>
  <si>
    <t>Woche 12 </t>
  </si>
  <si>
    <t>19. Jan </t>
  </si>
  <si>
    <t>Diskussion + Beantwortung RQs schreiben </t>
  </si>
  <si>
    <t>Kapitel 6 </t>
  </si>
  <si>
    <t>Woche 13 </t>
  </si>
  <si>
    <t>26. Jan </t>
  </si>
  <si>
    <t xml:space="preserve">Feinschliff, Zusammenfassung  und Ausblick </t>
  </si>
  <si>
    <t xml:space="preserve">BA finalisieren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</si>
</sst>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92929"/>
      <name val="Arial"/>
      <family val="2"/>
    </font>
    <font>
      <sz val="11"/>
      <color theme="1"/>
      <name val="Arial"/>
      <family val="2"/>
    </font>
    <font>
      <b/>
      <sz val="18"/>
      <color theme="1"/>
      <name val="Segoe U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b/>
      <sz val="11"/>
      <color rgb="FF29292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49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2" fillId="0" borderId="10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1" fillId="0" borderId="18" xfId="0" applyFont="1" applyBorder="1" applyAlignment="1">
      <alignment vertical="top" wrapText="1"/>
    </xf>
    <xf numFmtId="0" fontId="11" fillId="0" borderId="21" xfId="0" applyFont="1" applyBorder="1" applyAlignment="1">
      <alignment vertical="top" wrapText="1"/>
    </xf>
    <xf numFmtId="0" fontId="14" fillId="0" borderId="24" xfId="0" applyFont="1" applyBorder="1" applyAlignment="1">
      <alignment vertical="top" wrapText="1"/>
    </xf>
    <xf numFmtId="0" fontId="14" fillId="0" borderId="25" xfId="0" applyFont="1" applyBorder="1" applyAlignment="1">
      <alignment vertical="top" wrapText="1"/>
    </xf>
    <xf numFmtId="0" fontId="14" fillId="0" borderId="26" xfId="0" applyFont="1" applyBorder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1" fillId="0" borderId="27" xfId="0" applyFont="1" applyBorder="1" applyAlignment="1">
      <alignment vertical="top" wrapText="1"/>
    </xf>
    <xf numFmtId="0" fontId="11" fillId="0" borderId="28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49" fontId="0" fillId="0" borderId="0" xfId="0" applyNumberFormat="1"/>
    <xf numFmtId="49" fontId="17" fillId="0" borderId="2" xfId="0" applyNumberFormat="1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4" fillId="0" borderId="1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49" fontId="14" fillId="0" borderId="25" xfId="0" applyNumberFormat="1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7" fillId="0" borderId="11" xfId="0" applyFont="1" applyBorder="1" applyAlignment="1">
      <alignment horizontal="left" vertical="top" wrapText="1"/>
    </xf>
    <xf numFmtId="49" fontId="17" fillId="0" borderId="4" xfId="0" applyNumberFormat="1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49" fontId="17" fillId="0" borderId="9" xfId="0" applyNumberFormat="1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18" fillId="0" borderId="0" xfId="0" applyFont="1" applyAlignment="1">
      <alignment vertical="center" wrapText="1"/>
    </xf>
    <xf numFmtId="0" fontId="0" fillId="8" borderId="0" xfId="0" applyFill="1"/>
    <xf numFmtId="0" fontId="7" fillId="0" borderId="2" xfId="0" applyFont="1" applyBorder="1"/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0" fontId="11" fillId="0" borderId="35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8" borderId="4" xfId="0" applyFont="1" applyFill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2" fillId="8" borderId="5" xfId="0" applyFont="1" applyFill="1" applyBorder="1" applyAlignment="1">
      <alignment vertical="top" wrapText="1"/>
    </xf>
    <xf numFmtId="0" fontId="17" fillId="0" borderId="36" xfId="0" applyFont="1" applyBorder="1" applyAlignment="1">
      <alignment horizontal="left" vertical="top" wrapText="1"/>
    </xf>
    <xf numFmtId="49" fontId="17" fillId="0" borderId="32" xfId="0" applyNumberFormat="1" applyFont="1" applyBorder="1" applyAlignment="1">
      <alignment horizontal="left" vertical="top" wrapText="1"/>
    </xf>
    <xf numFmtId="0" fontId="17" fillId="0" borderId="33" xfId="0" applyFont="1" applyBorder="1" applyAlignment="1">
      <alignment horizontal="left" vertical="top" wrapText="1"/>
    </xf>
    <xf numFmtId="0" fontId="17" fillId="0" borderId="37" xfId="0" applyFont="1" applyBorder="1" applyAlignment="1">
      <alignment horizontal="left" vertical="top" wrapText="1"/>
    </xf>
    <xf numFmtId="49" fontId="17" fillId="0" borderId="38" xfId="0" applyNumberFormat="1" applyFont="1" applyBorder="1" applyAlignment="1">
      <alignment horizontal="left" vertical="top" wrapText="1"/>
    </xf>
    <xf numFmtId="0" fontId="17" fillId="0" borderId="39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2" fillId="8" borderId="11" xfId="0" applyFont="1" applyFill="1" applyBorder="1" applyAlignment="1">
      <alignment vertical="top" wrapText="1"/>
    </xf>
    <xf numFmtId="0" fontId="11" fillId="0" borderId="40" xfId="0" applyFont="1" applyBorder="1" applyAlignment="1">
      <alignment vertical="top" wrapText="1"/>
    </xf>
    <xf numFmtId="0" fontId="0" fillId="0" borderId="40" xfId="0" applyBorder="1" applyAlignment="1">
      <alignment vertical="top"/>
    </xf>
    <xf numFmtId="0" fontId="6" fillId="0" borderId="40" xfId="0" applyFont="1" applyBorder="1" applyAlignment="1">
      <alignment vertical="top" wrapText="1"/>
    </xf>
    <xf numFmtId="0" fontId="0" fillId="0" borderId="40" xfId="0" applyBorder="1"/>
    <xf numFmtId="0" fontId="5" fillId="0" borderId="41" xfId="0" applyFont="1" applyBorder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43" xfId="0" applyFont="1" applyBorder="1" applyAlignment="1">
      <alignment vertical="top" wrapText="1"/>
    </xf>
    <xf numFmtId="0" fontId="5" fillId="0" borderId="4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12" xfId="0" applyFont="1" applyBorder="1" applyAlignment="1">
      <alignment vertical="top" wrapText="1"/>
    </xf>
    <xf numFmtId="0" fontId="12" fillId="0" borderId="45" xfId="0" applyFont="1" applyBorder="1" applyAlignment="1">
      <alignment vertical="top" wrapText="1"/>
    </xf>
    <xf numFmtId="0" fontId="16" fillId="0" borderId="37" xfId="0" applyFont="1" applyBorder="1" applyAlignment="1">
      <alignment vertical="top" wrapText="1"/>
    </xf>
    <xf numFmtId="0" fontId="16" fillId="0" borderId="38" xfId="0" applyFont="1" applyBorder="1" applyAlignment="1">
      <alignment vertical="top" wrapText="1"/>
    </xf>
    <xf numFmtId="0" fontId="16" fillId="0" borderId="46" xfId="0" applyFont="1" applyBorder="1" applyAlignment="1">
      <alignment vertical="top" wrapText="1"/>
    </xf>
    <xf numFmtId="0" fontId="16" fillId="0" borderId="36" xfId="0" applyFont="1" applyBorder="1" applyAlignment="1">
      <alignment vertical="top" wrapText="1"/>
    </xf>
    <xf numFmtId="0" fontId="12" fillId="0" borderId="32" xfId="0" applyFont="1" applyBorder="1" applyAlignment="1">
      <alignment vertical="top" wrapText="1"/>
    </xf>
    <xf numFmtId="0" fontId="12" fillId="0" borderId="47" xfId="0" applyFont="1" applyBorder="1" applyAlignment="1">
      <alignment vertical="top" wrapText="1"/>
    </xf>
    <xf numFmtId="0" fontId="12" fillId="8" borderId="7" xfId="0" applyFont="1" applyFill="1" applyBorder="1" applyAlignment="1">
      <alignment vertical="top" wrapText="1"/>
    </xf>
    <xf numFmtId="0" fontId="12" fillId="0" borderId="34" xfId="0" applyFont="1" applyBorder="1" applyAlignment="1">
      <alignment vertical="top" wrapText="1"/>
    </xf>
    <xf numFmtId="0" fontId="12" fillId="0" borderId="37" xfId="0" applyFont="1" applyBorder="1" applyAlignment="1">
      <alignment vertical="top" wrapText="1"/>
    </xf>
    <xf numFmtId="0" fontId="12" fillId="0" borderId="38" xfId="0" applyFont="1" applyBorder="1" applyAlignment="1">
      <alignment vertical="top" wrapText="1"/>
    </xf>
    <xf numFmtId="0" fontId="12" fillId="0" borderId="48" xfId="0" applyFont="1" applyBorder="1" applyAlignment="1">
      <alignment vertical="top" wrapText="1"/>
    </xf>
    <xf numFmtId="0" fontId="12" fillId="0" borderId="39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0" fillId="3" borderId="0" xfId="0" applyFill="1"/>
    <xf numFmtId="0" fontId="12" fillId="3" borderId="13" xfId="0" applyFont="1" applyFill="1" applyBorder="1" applyAlignment="1">
      <alignment vertical="top" wrapText="1"/>
    </xf>
    <xf numFmtId="0" fontId="12" fillId="3" borderId="9" xfId="0" applyFont="1" applyFill="1" applyBorder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0" fontId="0" fillId="9" borderId="2" xfId="0" applyFill="1" applyBorder="1"/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49" fontId="17" fillId="0" borderId="4" xfId="0" applyNumberFormat="1" applyFont="1" applyBorder="1" applyAlignment="1">
      <alignment horizontal="left" vertical="top" wrapText="1"/>
    </xf>
    <xf numFmtId="49" fontId="17" fillId="0" borderId="2" xfId="0" applyNumberFormat="1" applyFont="1" applyBorder="1" applyAlignment="1">
      <alignment horizontal="left" vertical="top" wrapText="1"/>
    </xf>
    <xf numFmtId="49" fontId="17" fillId="0" borderId="9" xfId="0" applyNumberFormat="1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2" fillId="0" borderId="2" xfId="0" applyFont="1" applyFill="1" applyBorder="1" applyAlignment="1">
      <alignment vertical="top" wrapText="1"/>
    </xf>
    <xf numFmtId="0" fontId="12" fillId="0" borderId="9" xfId="0" applyFont="1" applyFill="1" applyBorder="1" applyAlignment="1">
      <alignment vertical="top" wrapText="1"/>
    </xf>
  </cellXfs>
  <cellStyles count="1">
    <cellStyle name="Standard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4016B-BCB0-4A40-A181-4949B1A31AEF}" name="Tabelle1" displayName="Tabelle1" ref="A1:H28" totalsRowShown="0" headerRowDxfId="17" dataDxfId="16">
  <autoFilter ref="A1:H28" xr:uid="{E014016B-BCB0-4A40-A181-4949B1A31AEF}"/>
  <tableColumns count="8">
    <tableColumn id="1" xr3:uid="{386CC574-D027-4BC4-8771-7748622F3FBA}" name="ID" dataDxfId="15"/>
    <tableColumn id="2" xr3:uid="{B3EA6AC3-C207-408C-AEAC-0F304CC7C4EC}" name="Jahr &amp; Autor" dataDxfId="14"/>
    <tableColumn id="3" xr3:uid="{74D3BB9F-9E47-4B37-AE18-FD3B770F875B}" name="KI-Ansatz" dataDxfId="13"/>
    <tableColumn id="4" xr3:uid="{5B0F1F37-7712-46BC-AAB4-558FA17207D0}" name="Plattform Domänen" dataDxfId="12"/>
    <tableColumn id="5" xr3:uid="{1940CA98-F52F-4478-9ECE-B9D93E99E8CE}" name="Keywords" dataDxfId="11"/>
    <tableColumn id="6" xr3:uid="{E3191CB2-BCC5-4485-8ED0-9F7AA0A9B3E2}" name="Wichtige Ergebnisse / Use Cases " dataDxfId="10"/>
    <tableColumn id="7" xr3:uid="{C5C4CE0D-ADA2-4174-A6F5-F5974FF8355A}" name="Bezug zu RQs" dataDxfId="9"/>
    <tableColumn id="8" xr3:uid="{34A1B2E3-7719-4413-95A5-F300634CF3BB}" name="Suche" dataDxfId="8">
      <calculatedColumnFormula>Übersicht!D2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3F4FD-C55E-4952-958D-472F3F928052}" name="Tabelle2" displayName="Tabelle2" ref="A1:D27" totalsRowShown="0" headerRowDxfId="7" headerRowBorderDxfId="6" tableBorderDxfId="5" totalsRowBorderDxfId="4">
  <autoFilter ref="A1:D27" xr:uid="{D613F4FD-C55E-4952-958D-472F3F928052}">
    <filterColumn colId="3">
      <customFilters>
        <customFilter val="*Monitoring*"/>
      </customFilters>
    </filterColumn>
  </autoFilter>
  <tableColumns count="4">
    <tableColumn id="1" xr3:uid="{4B029D9F-292E-47D0-9D67-D67D83983D94}" name="ID" dataDxfId="3"/>
    <tableColumn id="2" xr3:uid="{B524EBC5-CADC-4F1B-9CAF-D35A399CCE5A}" name="Titel (Autor)" dataDxfId="2"/>
    <tableColumn id="3" xr3:uid="{DDD980DE-EF15-4992-A895-FAFF1292ED26}" name="Hauptbereich (Zentrales Thema des Papers)" dataDxfId="1"/>
    <tableColumn id="4" xr3:uid="{2753ED8F-D07B-45FD-A491-7BA372245707}" name="Sekundärbereiche (Weitere angesprochene PE-Aspekte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9CFF-94D1-4547-9ADA-74B4A7F8299A}">
  <dimension ref="A1:I30"/>
  <sheetViews>
    <sheetView topLeftCell="A7" zoomScale="85" zoomScaleNormal="85" workbookViewId="0">
      <selection activeCell="F8" sqref="F8"/>
    </sheetView>
  </sheetViews>
  <sheetFormatPr baseColWidth="10" defaultRowHeight="14.5" x14ac:dyDescent="0.35"/>
  <cols>
    <col min="2" max="2" width="31.453125" customWidth="1"/>
    <col min="3" max="3" width="57.36328125" customWidth="1"/>
    <col min="4" max="4" width="46" customWidth="1"/>
  </cols>
  <sheetData>
    <row r="1" spans="1:9" ht="15" thickBot="1" x14ac:dyDescent="0.4">
      <c r="A1" s="1" t="s">
        <v>74</v>
      </c>
      <c r="B1" s="1" t="s">
        <v>52</v>
      </c>
      <c r="C1" s="1" t="s">
        <v>29</v>
      </c>
      <c r="D1" s="1" t="s">
        <v>1</v>
      </c>
    </row>
    <row r="2" spans="1:9" ht="44.5" customHeight="1" thickBot="1" x14ac:dyDescent="0.4">
      <c r="A2" s="1" t="s">
        <v>2</v>
      </c>
      <c r="B2" s="1" t="s">
        <v>53</v>
      </c>
      <c r="C2" s="1" t="s">
        <v>30</v>
      </c>
      <c r="D2" s="2" t="s">
        <v>28</v>
      </c>
    </row>
    <row r="3" spans="1:9" ht="30" customHeight="1" thickBot="1" x14ac:dyDescent="0.4">
      <c r="A3" s="1" t="s">
        <v>3</v>
      </c>
      <c r="B3" s="1" t="s">
        <v>54</v>
      </c>
      <c r="C3" s="1" t="s">
        <v>31</v>
      </c>
      <c r="D3" s="2" t="s">
        <v>28</v>
      </c>
    </row>
    <row r="4" spans="1:9" ht="34" customHeight="1" thickBot="1" x14ac:dyDescent="0.4">
      <c r="A4" s="19" t="s">
        <v>4</v>
      </c>
      <c r="B4" s="19" t="s">
        <v>55</v>
      </c>
      <c r="C4" s="19" t="s">
        <v>32</v>
      </c>
      <c r="D4" s="20" t="s">
        <v>28</v>
      </c>
    </row>
    <row r="5" spans="1:9" ht="36.5" customHeight="1" thickBot="1" x14ac:dyDescent="0.4">
      <c r="A5" s="17" t="s">
        <v>5</v>
      </c>
      <c r="B5" s="17" t="s">
        <v>56</v>
      </c>
      <c r="C5" s="17" t="s">
        <v>33</v>
      </c>
      <c r="D5" s="18" t="s">
        <v>28</v>
      </c>
      <c r="G5" s="126" t="s">
        <v>281</v>
      </c>
      <c r="H5" s="126"/>
      <c r="I5" s="126"/>
    </row>
    <row r="6" spans="1:9" ht="46" customHeight="1" thickBot="1" x14ac:dyDescent="0.4">
      <c r="A6" s="21" t="s">
        <v>6</v>
      </c>
      <c r="B6" s="21" t="s">
        <v>57</v>
      </c>
      <c r="C6" s="21" t="s">
        <v>34</v>
      </c>
      <c r="D6" s="22" t="s">
        <v>28</v>
      </c>
    </row>
    <row r="7" spans="1:9" ht="33.5" customHeight="1" thickBot="1" x14ac:dyDescent="0.4">
      <c r="A7" s="1" t="s">
        <v>7</v>
      </c>
      <c r="B7" s="1" t="s">
        <v>58</v>
      </c>
      <c r="C7" s="1" t="s">
        <v>35</v>
      </c>
      <c r="D7" s="2" t="str">
        <f>"Rückwärts aus " &amp; A2</f>
        <v>Rückwärts aus P1</v>
      </c>
      <c r="G7" s="127" t="s">
        <v>284</v>
      </c>
      <c r="H7" s="127"/>
      <c r="I7" s="127"/>
    </row>
    <row r="8" spans="1:9" ht="30.5" customHeight="1" thickBot="1" x14ac:dyDescent="0.4">
      <c r="A8" s="1" t="s">
        <v>8</v>
      </c>
      <c r="B8" s="1" t="s">
        <v>59</v>
      </c>
      <c r="C8" s="1" t="s">
        <v>36</v>
      </c>
      <c r="D8" s="2" t="str">
        <f>"Rückwärts aus " &amp; A2</f>
        <v>Rückwärts aus P1</v>
      </c>
      <c r="G8" s="127"/>
      <c r="H8" s="127"/>
      <c r="I8" s="127"/>
    </row>
    <row r="9" spans="1:9" ht="21.5" customHeight="1" thickBot="1" x14ac:dyDescent="0.4">
      <c r="A9" s="1" t="s">
        <v>9</v>
      </c>
      <c r="B9" s="1" t="s">
        <v>60</v>
      </c>
      <c r="C9" s="1" t="s">
        <v>37</v>
      </c>
      <c r="D9" s="2" t="str">
        <f>"Rückwärts aus " &amp; A2</f>
        <v>Rückwärts aus P1</v>
      </c>
    </row>
    <row r="10" spans="1:9" ht="29" customHeight="1" thickBot="1" x14ac:dyDescent="0.4">
      <c r="A10" s="1" t="s">
        <v>10</v>
      </c>
      <c r="B10" s="1" t="s">
        <v>61</v>
      </c>
      <c r="C10" s="1" t="s">
        <v>38</v>
      </c>
      <c r="D10" s="2" t="str">
        <f>"Rückwärts aus " &amp; A2</f>
        <v>Rückwärts aus P1</v>
      </c>
    </row>
    <row r="11" spans="1:9" ht="31" customHeight="1" thickBot="1" x14ac:dyDescent="0.4">
      <c r="A11" s="1" t="s">
        <v>11</v>
      </c>
      <c r="B11" s="1" t="s">
        <v>62</v>
      </c>
      <c r="C11" s="1" t="s">
        <v>39</v>
      </c>
      <c r="D11" s="2" t="str">
        <f>"Rückwärts aus " &amp; A2</f>
        <v>Rückwärts aus P1</v>
      </c>
    </row>
    <row r="12" spans="1:9" ht="34.5" customHeight="1" thickBot="1" x14ac:dyDescent="0.4">
      <c r="A12" s="1" t="s">
        <v>12</v>
      </c>
      <c r="B12" s="1" t="s">
        <v>63</v>
      </c>
      <c r="C12" s="1" t="s">
        <v>40</v>
      </c>
      <c r="D12" s="2" t="str">
        <f>"Vorwärts aus " &amp; A3</f>
        <v>Vorwärts aus P2</v>
      </c>
    </row>
    <row r="13" spans="1:9" ht="66.5" customHeight="1" thickBot="1" x14ac:dyDescent="0.4">
      <c r="A13" s="1" t="s">
        <v>13</v>
      </c>
      <c r="B13" s="1" t="s">
        <v>64</v>
      </c>
      <c r="C13" s="1" t="s">
        <v>41</v>
      </c>
      <c r="D13" s="2" t="str">
        <f>"Rückwärts aus " &amp; A3</f>
        <v>Rückwärts aus P2</v>
      </c>
    </row>
    <row r="14" spans="1:9" ht="37.5" customHeight="1" thickBot="1" x14ac:dyDescent="0.4">
      <c r="A14" s="1" t="s">
        <v>14</v>
      </c>
      <c r="B14" s="1" t="s">
        <v>65</v>
      </c>
      <c r="C14" s="1" t="s">
        <v>42</v>
      </c>
      <c r="D14" s="2" t="str">
        <f>"Rückwärts aus " &amp; A3</f>
        <v>Rückwärts aus P2</v>
      </c>
    </row>
    <row r="15" spans="1:9" ht="23" customHeight="1" thickBot="1" x14ac:dyDescent="0.4">
      <c r="A15" s="1" t="s">
        <v>15</v>
      </c>
      <c r="B15" s="1" t="s">
        <v>66</v>
      </c>
      <c r="C15" s="1" t="s">
        <v>43</v>
      </c>
      <c r="D15" s="2" t="str">
        <f>"Rückwärts aus " &amp; A3</f>
        <v>Rückwärts aus P2</v>
      </c>
    </row>
    <row r="16" spans="1:9" ht="30.5" customHeight="1" thickBot="1" x14ac:dyDescent="0.4">
      <c r="A16" s="19" t="s">
        <v>16</v>
      </c>
      <c r="B16" s="19" t="s">
        <v>67</v>
      </c>
      <c r="C16" s="19" t="s">
        <v>44</v>
      </c>
      <c r="D16" s="20" t="str">
        <f>"Vorwärts aus " &amp; A4</f>
        <v>Vorwärts aus P3</v>
      </c>
    </row>
    <row r="17" spans="1:4" ht="48" customHeight="1" thickBot="1" x14ac:dyDescent="0.4">
      <c r="A17" s="17" t="s">
        <v>17</v>
      </c>
      <c r="B17" s="17" t="s">
        <v>68</v>
      </c>
      <c r="C17" s="17" t="s">
        <v>45</v>
      </c>
      <c r="D17" s="18" t="str">
        <f>"Vorwärts aus " &amp; A5</f>
        <v>Vorwärts aus P4</v>
      </c>
    </row>
    <row r="18" spans="1:4" ht="41.5" customHeight="1" thickBot="1" x14ac:dyDescent="0.4">
      <c r="A18" s="17" t="s">
        <v>18</v>
      </c>
      <c r="B18" s="17" t="s">
        <v>56</v>
      </c>
      <c r="C18" s="17" t="s">
        <v>46</v>
      </c>
      <c r="D18" s="18" t="str">
        <f>"Rückwärts aus " &amp; A5</f>
        <v>Rückwärts aus P4</v>
      </c>
    </row>
    <row r="19" spans="1:4" ht="30" customHeight="1" thickBot="1" x14ac:dyDescent="0.4">
      <c r="A19" s="21" t="s">
        <v>19</v>
      </c>
      <c r="B19" s="21" t="s">
        <v>69</v>
      </c>
      <c r="C19" s="21" t="s">
        <v>47</v>
      </c>
      <c r="D19" s="22" t="str">
        <f>"Vorwärts aus " &amp; A6</f>
        <v>Vorwärts aus P5</v>
      </c>
    </row>
    <row r="20" spans="1:4" ht="28" customHeight="1" thickBot="1" x14ac:dyDescent="0.4">
      <c r="A20" s="21" t="s">
        <v>20</v>
      </c>
      <c r="B20" s="21" t="s">
        <v>70</v>
      </c>
      <c r="C20" s="21" t="s">
        <v>48</v>
      </c>
      <c r="D20" s="22" t="str">
        <f>"Vorwärts aus " &amp; A6</f>
        <v>Vorwärts aus P5</v>
      </c>
    </row>
    <row r="21" spans="1:4" ht="35" customHeight="1" thickBot="1" x14ac:dyDescent="0.4">
      <c r="A21" s="21" t="s">
        <v>21</v>
      </c>
      <c r="B21" s="21" t="s">
        <v>71</v>
      </c>
      <c r="C21" s="21" t="s">
        <v>49</v>
      </c>
      <c r="D21" s="22" t="str">
        <f>"Rückwärts aus " &amp; A6</f>
        <v>Rückwärts aus P5</v>
      </c>
    </row>
    <row r="22" spans="1:4" ht="36.5" customHeight="1" thickBot="1" x14ac:dyDescent="0.4">
      <c r="A22" s="17" t="s">
        <v>22</v>
      </c>
      <c r="B22" s="17" t="s">
        <v>72</v>
      </c>
      <c r="C22" s="17" t="s">
        <v>50</v>
      </c>
      <c r="D22" s="18" t="str">
        <f>"Rückwärts aus " &amp; A17</f>
        <v>Rückwärts aus P16</v>
      </c>
    </row>
    <row r="23" spans="1:4" ht="43" customHeight="1" thickBot="1" x14ac:dyDescent="0.4">
      <c r="A23" s="21" t="s">
        <v>23</v>
      </c>
      <c r="B23" s="21" t="s">
        <v>73</v>
      </c>
      <c r="C23" s="21" t="s">
        <v>51</v>
      </c>
      <c r="D23" s="22" t="str">
        <f>"Rückwärts aus " &amp; A19</f>
        <v>Rückwärts aus P18</v>
      </c>
    </row>
    <row r="24" spans="1:4" ht="35.5" customHeight="1" thickBot="1" x14ac:dyDescent="0.4">
      <c r="A24" s="1" t="s">
        <v>24</v>
      </c>
      <c r="B24" s="1" t="s">
        <v>77</v>
      </c>
      <c r="C24" s="1" t="s">
        <v>76</v>
      </c>
      <c r="D24" s="2" t="str">
        <f>"Vorwärts aus " &amp; A7</f>
        <v>Vorwärts aus P6</v>
      </c>
    </row>
    <row r="25" spans="1:4" ht="15" thickBot="1" x14ac:dyDescent="0.4">
      <c r="A25" s="1" t="s">
        <v>25</v>
      </c>
      <c r="B25" s="1" t="s">
        <v>84</v>
      </c>
      <c r="C25" s="1" t="s">
        <v>85</v>
      </c>
      <c r="D25" s="2" t="str">
        <f>"Vorwärts aus " &amp; A9</f>
        <v>Vorwärts aus P8</v>
      </c>
    </row>
    <row r="26" spans="1:4" ht="44" customHeight="1" thickBot="1" x14ac:dyDescent="0.4">
      <c r="A26" s="1" t="s">
        <v>26</v>
      </c>
      <c r="B26" s="1" t="s">
        <v>87</v>
      </c>
      <c r="C26" s="1" t="s">
        <v>86</v>
      </c>
      <c r="D26" s="2" t="str">
        <f>"Vorwärts aus " &amp; A9</f>
        <v>Vorwärts aus P8</v>
      </c>
    </row>
    <row r="27" spans="1:4" ht="26.5" thickBot="1" x14ac:dyDescent="0.4">
      <c r="A27" s="1" t="s">
        <v>27</v>
      </c>
      <c r="C27" s="3"/>
    </row>
    <row r="28" spans="1:4" ht="15" thickBot="1" x14ac:dyDescent="0.4">
      <c r="A28" s="1" t="s">
        <v>78</v>
      </c>
      <c r="C28" s="4"/>
    </row>
    <row r="29" spans="1:4" ht="15" thickBot="1" x14ac:dyDescent="0.4">
      <c r="A29" s="1" t="s">
        <v>79</v>
      </c>
    </row>
    <row r="30" spans="1:4" ht="15" thickBot="1" x14ac:dyDescent="0.4">
      <c r="A30" s="1" t="s">
        <v>80</v>
      </c>
    </row>
  </sheetData>
  <mergeCells count="2">
    <mergeCell ref="G5:I5"/>
    <mergeCell ref="G7:I8"/>
  </mergeCells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0DFC-ABCB-4798-A2A7-A9FED467CFB2}">
  <dimension ref="A1:L25"/>
  <sheetViews>
    <sheetView topLeftCell="A4" zoomScale="85" zoomScaleNormal="85" workbookViewId="0">
      <selection activeCell="H20" sqref="H20"/>
    </sheetView>
  </sheetViews>
  <sheetFormatPr baseColWidth="10" defaultRowHeight="14.5" x14ac:dyDescent="0.35"/>
  <cols>
    <col min="2" max="2" width="31.453125" customWidth="1"/>
    <col min="3" max="3" width="74" customWidth="1"/>
    <col min="4" max="4" width="46" customWidth="1"/>
  </cols>
  <sheetData>
    <row r="1" spans="1:12" ht="15" thickBot="1" x14ac:dyDescent="0.4">
      <c r="A1" s="48" t="s">
        <v>74</v>
      </c>
      <c r="B1" s="48" t="s">
        <v>52</v>
      </c>
      <c r="C1" s="48" t="s">
        <v>29</v>
      </c>
      <c r="D1" s="48" t="s">
        <v>1</v>
      </c>
    </row>
    <row r="2" spans="1:12" ht="35.5" customHeight="1" thickBot="1" x14ac:dyDescent="0.4">
      <c r="A2" s="46" t="s">
        <v>2</v>
      </c>
      <c r="B2" s="46" t="s">
        <v>476</v>
      </c>
      <c r="C2" s="46" t="s">
        <v>30</v>
      </c>
      <c r="D2" s="47" t="s">
        <v>28</v>
      </c>
      <c r="G2" s="16"/>
      <c r="H2" s="16"/>
      <c r="I2" s="16"/>
      <c r="J2" s="14"/>
      <c r="K2" s="14"/>
      <c r="L2" s="14"/>
    </row>
    <row r="3" spans="1:12" ht="30" customHeight="1" thickBot="1" x14ac:dyDescent="0.4">
      <c r="A3" s="46" t="s">
        <v>3</v>
      </c>
      <c r="B3" s="46" t="s">
        <v>54</v>
      </c>
      <c r="C3" s="46" t="s">
        <v>31</v>
      </c>
      <c r="D3" s="47" t="s">
        <v>28</v>
      </c>
    </row>
    <row r="4" spans="1:12" ht="30" customHeight="1" thickBot="1" x14ac:dyDescent="0.4">
      <c r="A4" s="46" t="s">
        <v>4</v>
      </c>
      <c r="B4" s="46" t="s">
        <v>69</v>
      </c>
      <c r="C4" s="46" t="s">
        <v>47</v>
      </c>
      <c r="D4" s="47" t="s">
        <v>28</v>
      </c>
      <c r="G4" s="13"/>
      <c r="H4" s="13"/>
      <c r="I4" s="13"/>
    </row>
    <row r="5" spans="1:12" ht="30" customHeight="1" thickBot="1" x14ac:dyDescent="0.4">
      <c r="A5" s="46" t="s">
        <v>5</v>
      </c>
      <c r="B5" s="46" t="s">
        <v>279</v>
      </c>
      <c r="C5" s="46" t="s">
        <v>280</v>
      </c>
      <c r="D5" s="47" t="s">
        <v>28</v>
      </c>
    </row>
    <row r="6" spans="1:12" ht="33.5" customHeight="1" thickBot="1" x14ac:dyDescent="0.4">
      <c r="A6" s="19" t="s">
        <v>6</v>
      </c>
      <c r="B6" s="19" t="s">
        <v>58</v>
      </c>
      <c r="C6" s="19" t="s">
        <v>35</v>
      </c>
      <c r="D6" s="20" t="str">
        <f>"Rückwärts aus " &amp; A2</f>
        <v>Rückwärts aus P1</v>
      </c>
    </row>
    <row r="7" spans="1:12" ht="30.5" customHeight="1" thickBot="1" x14ac:dyDescent="0.4">
      <c r="A7" s="19" t="s">
        <v>7</v>
      </c>
      <c r="B7" s="19" t="s">
        <v>59</v>
      </c>
      <c r="C7" s="19" t="s">
        <v>36</v>
      </c>
      <c r="D7" s="20" t="str">
        <f>"Rückwärts aus " &amp; A2</f>
        <v>Rückwärts aus P1</v>
      </c>
    </row>
    <row r="8" spans="1:12" ht="21.5" customHeight="1" thickBot="1" x14ac:dyDescent="0.4">
      <c r="A8" s="19" t="s">
        <v>8</v>
      </c>
      <c r="B8" s="19" t="s">
        <v>60</v>
      </c>
      <c r="C8" s="19" t="s">
        <v>37</v>
      </c>
      <c r="D8" s="20" t="str">
        <f>"Rückwärts aus " &amp; A2</f>
        <v>Rückwärts aus P1</v>
      </c>
    </row>
    <row r="9" spans="1:12" ht="29" customHeight="1" thickBot="1" x14ac:dyDescent="0.4">
      <c r="A9" s="19" t="s">
        <v>9</v>
      </c>
      <c r="B9" s="19" t="s">
        <v>61</v>
      </c>
      <c r="C9" s="19" t="s">
        <v>38</v>
      </c>
      <c r="D9" s="20" t="str">
        <f>"Rückwärts aus " &amp; A2</f>
        <v>Rückwärts aus P1</v>
      </c>
    </row>
    <row r="10" spans="1:12" ht="31" customHeight="1" thickBot="1" x14ac:dyDescent="0.4">
      <c r="A10" s="19" t="s">
        <v>10</v>
      </c>
      <c r="B10" s="19" t="s">
        <v>62</v>
      </c>
      <c r="C10" s="19" t="s">
        <v>39</v>
      </c>
      <c r="D10" s="20" t="str">
        <f>"Rückwärts aus " &amp; A2</f>
        <v>Rückwärts aus P1</v>
      </c>
    </row>
    <row r="11" spans="1:12" ht="25" customHeight="1" thickBot="1" x14ac:dyDescent="0.4">
      <c r="A11" s="19" t="s">
        <v>11</v>
      </c>
      <c r="B11" s="19" t="s">
        <v>1001</v>
      </c>
      <c r="C11" s="19" t="s">
        <v>277</v>
      </c>
      <c r="D11" s="20" t="s">
        <v>278</v>
      </c>
    </row>
    <row r="12" spans="1:12" ht="34.5" customHeight="1" thickBot="1" x14ac:dyDescent="0.4">
      <c r="A12" s="23" t="s">
        <v>12</v>
      </c>
      <c r="B12" s="23" t="s">
        <v>63</v>
      </c>
      <c r="C12" s="23" t="s">
        <v>40</v>
      </c>
      <c r="D12" s="24" t="str">
        <f>"Vorwärts aus " &amp; A3</f>
        <v>Vorwärts aus P2</v>
      </c>
    </row>
    <row r="13" spans="1:12" ht="32.5" customHeight="1" thickBot="1" x14ac:dyDescent="0.4">
      <c r="A13" s="19" t="s">
        <v>13</v>
      </c>
      <c r="B13" s="19" t="s">
        <v>65</v>
      </c>
      <c r="C13" s="19" t="s">
        <v>42</v>
      </c>
      <c r="D13" s="20" t="str">
        <f>"Rückwärts aus " &amp; A3</f>
        <v>Rückwärts aus P2</v>
      </c>
    </row>
    <row r="14" spans="1:12" ht="29" customHeight="1" thickBot="1" x14ac:dyDescent="0.4">
      <c r="A14" s="19" t="s">
        <v>14</v>
      </c>
      <c r="B14" s="19" t="s">
        <v>66</v>
      </c>
      <c r="C14" s="19" t="s">
        <v>43</v>
      </c>
      <c r="D14" s="20" t="str">
        <f>"Rückwärts aus " &amp; A3</f>
        <v>Rückwärts aus P2</v>
      </c>
    </row>
    <row r="15" spans="1:12" ht="42.5" thickBot="1" x14ac:dyDescent="0.4">
      <c r="A15" s="19" t="s">
        <v>15</v>
      </c>
      <c r="B15" s="19" t="s">
        <v>64</v>
      </c>
      <c r="C15" s="19" t="s">
        <v>41</v>
      </c>
      <c r="D15" s="20" t="str">
        <f>"Rückwärts aus " &amp; A4</f>
        <v>Rückwärts aus P3</v>
      </c>
    </row>
    <row r="16" spans="1:12" ht="28.5" thickBot="1" x14ac:dyDescent="0.4">
      <c r="A16" s="19" t="s">
        <v>16</v>
      </c>
      <c r="B16" s="19" t="s">
        <v>73</v>
      </c>
      <c r="C16" s="19" t="s">
        <v>51</v>
      </c>
      <c r="D16" s="20" t="str">
        <f>"Rückwärts aus " &amp; A4</f>
        <v>Rückwärts aus P3</v>
      </c>
    </row>
    <row r="17" spans="1:4" ht="28.5" thickBot="1" x14ac:dyDescent="0.4">
      <c r="A17" s="19" t="s">
        <v>17</v>
      </c>
      <c r="B17" s="19" t="s">
        <v>57</v>
      </c>
      <c r="C17" s="19" t="s">
        <v>34</v>
      </c>
      <c r="D17" s="20" t="s">
        <v>282</v>
      </c>
    </row>
    <row r="18" spans="1:4" ht="35.5" customHeight="1" thickBot="1" x14ac:dyDescent="0.4">
      <c r="A18" s="23" t="s">
        <v>18</v>
      </c>
      <c r="B18" s="23" t="s">
        <v>77</v>
      </c>
      <c r="C18" s="23" t="s">
        <v>76</v>
      </c>
      <c r="D18" s="24" t="str">
        <f>"Vorwärts aus " &amp; A6</f>
        <v>Vorwärts aus P5</v>
      </c>
    </row>
    <row r="19" spans="1:4" ht="35.5" customHeight="1" thickBot="1" x14ac:dyDescent="0.4">
      <c r="A19" s="23" t="s">
        <v>19</v>
      </c>
      <c r="B19" s="23" t="s">
        <v>648</v>
      </c>
      <c r="C19" s="23" t="s">
        <v>649</v>
      </c>
      <c r="D19" s="24" t="s">
        <v>647</v>
      </c>
    </row>
    <row r="20" spans="1:4" ht="35.5" customHeight="1" thickBot="1" x14ac:dyDescent="0.4">
      <c r="A20" s="23" t="s">
        <v>20</v>
      </c>
      <c r="B20" s="23" t="s">
        <v>1033</v>
      </c>
      <c r="C20" s="23" t="s">
        <v>1032</v>
      </c>
      <c r="D20" s="24" t="s">
        <v>1031</v>
      </c>
    </row>
    <row r="21" spans="1:4" ht="44" customHeight="1" thickBot="1" x14ac:dyDescent="0.4">
      <c r="A21" s="23" t="s">
        <v>21</v>
      </c>
      <c r="B21" s="23" t="s">
        <v>87</v>
      </c>
      <c r="C21" s="23" t="s">
        <v>86</v>
      </c>
      <c r="D21" s="24" t="str">
        <f>"Vorwärts aus " &amp; A8</f>
        <v>Vorwärts aus P7</v>
      </c>
    </row>
    <row r="22" spans="1:4" ht="15" thickBot="1" x14ac:dyDescent="0.4">
      <c r="A22" s="23" t="s">
        <v>22</v>
      </c>
      <c r="B22" s="23" t="s">
        <v>70</v>
      </c>
      <c r="C22" s="23" t="s">
        <v>48</v>
      </c>
      <c r="D22" s="24" t="s">
        <v>283</v>
      </c>
    </row>
    <row r="23" spans="1:4" ht="15" thickBot="1" x14ac:dyDescent="0.4">
      <c r="A23" s="1"/>
      <c r="C23" s="4"/>
    </row>
    <row r="24" spans="1:4" ht="15" thickBot="1" x14ac:dyDescent="0.4">
      <c r="A24" s="1"/>
    </row>
    <row r="25" spans="1:4" ht="15" thickBot="1" x14ac:dyDescent="0.4">
      <c r="A25" s="1"/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B254-1F6C-4470-B52E-EBD4F5A29750}">
  <dimension ref="A1:H40"/>
  <sheetViews>
    <sheetView workbookViewId="0">
      <selection activeCell="A12" sqref="A12:A26"/>
    </sheetView>
  </sheetViews>
  <sheetFormatPr baseColWidth="10" defaultColWidth="10.81640625" defaultRowHeight="14.5" x14ac:dyDescent="0.35"/>
  <cols>
    <col min="1" max="1" width="5" style="7" bestFit="1" customWidth="1"/>
    <col min="2" max="2" width="14.1796875" style="7" customWidth="1"/>
    <col min="3" max="3" width="29.6328125" style="7" customWidth="1"/>
    <col min="4" max="4" width="32.6328125" style="7" customWidth="1"/>
    <col min="5" max="5" width="25.453125" style="7" customWidth="1"/>
    <col min="6" max="6" width="50.81640625" style="7" customWidth="1"/>
    <col min="7" max="7" width="35.81640625" style="7" customWidth="1"/>
    <col min="8" max="8" width="14.36328125" style="7" customWidth="1"/>
    <col min="9" max="16384" width="10.81640625" style="7"/>
  </cols>
  <sheetData>
    <row r="1" spans="1:8" x14ac:dyDescent="0.35">
      <c r="A1" s="6" t="s">
        <v>0</v>
      </c>
      <c r="B1" s="6" t="s">
        <v>88</v>
      </c>
      <c r="C1" s="6" t="s">
        <v>81</v>
      </c>
      <c r="D1" s="6" t="s">
        <v>82</v>
      </c>
      <c r="E1" s="6" t="s">
        <v>75</v>
      </c>
      <c r="F1" s="6" t="s">
        <v>237</v>
      </c>
      <c r="G1" s="6" t="s">
        <v>83</v>
      </c>
      <c r="H1" s="6" t="s">
        <v>1</v>
      </c>
    </row>
    <row r="2" spans="1:8" ht="99" customHeight="1" x14ac:dyDescent="0.35">
      <c r="A2" s="6" t="s">
        <v>2</v>
      </c>
      <c r="B2" s="6" t="s">
        <v>104</v>
      </c>
      <c r="C2" s="6" t="s">
        <v>127</v>
      </c>
      <c r="D2" s="6" t="s">
        <v>128</v>
      </c>
      <c r="E2" s="6" t="s">
        <v>221</v>
      </c>
      <c r="F2" s="5" t="s">
        <v>129</v>
      </c>
      <c r="G2" s="6" t="s">
        <v>91</v>
      </c>
      <c r="H2" s="6" t="s">
        <v>28</v>
      </c>
    </row>
    <row r="3" spans="1:8" ht="99" customHeight="1" x14ac:dyDescent="0.35">
      <c r="A3" s="6" t="s">
        <v>3</v>
      </c>
      <c r="B3" s="6" t="s">
        <v>105</v>
      </c>
      <c r="C3" s="6" t="s">
        <v>130</v>
      </c>
      <c r="D3" s="6" t="s">
        <v>131</v>
      </c>
      <c r="E3" s="6" t="s">
        <v>222</v>
      </c>
      <c r="F3" s="5" t="s">
        <v>132</v>
      </c>
      <c r="G3" s="9" t="s">
        <v>90</v>
      </c>
      <c r="H3" s="6" t="s">
        <v>28</v>
      </c>
    </row>
    <row r="4" spans="1:8" ht="71" customHeight="1" x14ac:dyDescent="0.35">
      <c r="A4" s="6" t="s">
        <v>4</v>
      </c>
      <c r="B4" s="6" t="s">
        <v>106</v>
      </c>
      <c r="C4" s="6" t="s">
        <v>133</v>
      </c>
      <c r="D4" s="6" t="s">
        <v>134</v>
      </c>
      <c r="E4" s="6" t="s">
        <v>223</v>
      </c>
      <c r="F4" s="5" t="s">
        <v>135</v>
      </c>
      <c r="G4" s="9" t="s">
        <v>92</v>
      </c>
      <c r="H4" s="6" t="s">
        <v>28</v>
      </c>
    </row>
    <row r="5" spans="1:8" ht="101.5" x14ac:dyDescent="0.35">
      <c r="A5" s="6" t="s">
        <v>5</v>
      </c>
      <c r="B5" s="6" t="s">
        <v>89</v>
      </c>
      <c r="C5" s="6" t="s">
        <v>136</v>
      </c>
      <c r="D5" s="6" t="s">
        <v>137</v>
      </c>
      <c r="E5" s="6" t="s">
        <v>224</v>
      </c>
      <c r="F5" s="5" t="s">
        <v>138</v>
      </c>
      <c r="G5" s="6" t="s">
        <v>139</v>
      </c>
      <c r="H5" s="6" t="s">
        <v>28</v>
      </c>
    </row>
    <row r="6" spans="1:8" ht="102" customHeight="1" x14ac:dyDescent="0.35">
      <c r="A6" s="6" t="s">
        <v>6</v>
      </c>
      <c r="B6" s="6" t="s">
        <v>107</v>
      </c>
      <c r="C6" s="6" t="s">
        <v>140</v>
      </c>
      <c r="D6" s="6" t="s">
        <v>141</v>
      </c>
      <c r="E6" s="6" t="s">
        <v>225</v>
      </c>
      <c r="F6" s="5" t="s">
        <v>142</v>
      </c>
      <c r="G6" s="6" t="s">
        <v>93</v>
      </c>
      <c r="H6" s="6" t="s">
        <v>28</v>
      </c>
    </row>
    <row r="7" spans="1:8" ht="101.5" x14ac:dyDescent="0.35">
      <c r="A7" s="6" t="s">
        <v>7</v>
      </c>
      <c r="B7" s="6" t="s">
        <v>214</v>
      </c>
      <c r="C7" s="6" t="s">
        <v>215</v>
      </c>
      <c r="D7" s="6" t="s">
        <v>216</v>
      </c>
      <c r="E7" s="6" t="s">
        <v>226</v>
      </c>
      <c r="F7" s="5" t="s">
        <v>217</v>
      </c>
      <c r="G7" s="6" t="s">
        <v>218</v>
      </c>
      <c r="H7" s="6" t="s">
        <v>124</v>
      </c>
    </row>
    <row r="8" spans="1:8" ht="87" x14ac:dyDescent="0.35">
      <c r="A8" s="6" t="s">
        <v>8</v>
      </c>
      <c r="B8" s="6" t="s">
        <v>210</v>
      </c>
      <c r="C8" s="6" t="s">
        <v>211</v>
      </c>
      <c r="D8" s="6" t="s">
        <v>212</v>
      </c>
      <c r="E8" s="6" t="s">
        <v>227</v>
      </c>
      <c r="F8" s="5" t="s">
        <v>213</v>
      </c>
      <c r="G8" s="6" t="s">
        <v>209</v>
      </c>
      <c r="H8" s="6" t="s">
        <v>124</v>
      </c>
    </row>
    <row r="9" spans="1:8" ht="58" x14ac:dyDescent="0.35">
      <c r="A9" s="6" t="s">
        <v>9</v>
      </c>
      <c r="B9" s="6" t="s">
        <v>205</v>
      </c>
      <c r="C9" s="6" t="s">
        <v>206</v>
      </c>
      <c r="D9" s="6" t="s">
        <v>207</v>
      </c>
      <c r="E9" s="6" t="s">
        <v>228</v>
      </c>
      <c r="F9" s="5" t="s">
        <v>208</v>
      </c>
      <c r="G9" s="6" t="s">
        <v>209</v>
      </c>
      <c r="H9" s="6" t="s">
        <v>124</v>
      </c>
    </row>
    <row r="10" spans="1:8" ht="87" x14ac:dyDescent="0.35">
      <c r="A10" s="6" t="s">
        <v>10</v>
      </c>
      <c r="B10" s="6" t="s">
        <v>195</v>
      </c>
      <c r="C10" s="6" t="s">
        <v>196</v>
      </c>
      <c r="D10" s="6" t="s">
        <v>197</v>
      </c>
      <c r="E10" s="6" t="s">
        <v>229</v>
      </c>
      <c r="F10" s="5" t="s">
        <v>198</v>
      </c>
      <c r="G10" s="6" t="s">
        <v>199</v>
      </c>
      <c r="H10" s="6" t="s">
        <v>124</v>
      </c>
    </row>
    <row r="11" spans="1:8" ht="116" x14ac:dyDescent="0.35">
      <c r="A11" s="6" t="s">
        <v>11</v>
      </c>
      <c r="B11" s="6" t="s">
        <v>200</v>
      </c>
      <c r="C11" s="6" t="s">
        <v>201</v>
      </c>
      <c r="D11" s="6" t="s">
        <v>202</v>
      </c>
      <c r="E11" s="6" t="s">
        <v>230</v>
      </c>
      <c r="F11" s="5" t="s">
        <v>203</v>
      </c>
      <c r="G11" s="6" t="s">
        <v>204</v>
      </c>
      <c r="H11" s="6" t="s">
        <v>124</v>
      </c>
    </row>
    <row r="12" spans="1:8" ht="116" x14ac:dyDescent="0.35">
      <c r="A12" s="6" t="s">
        <v>12</v>
      </c>
      <c r="B12" s="6" t="s">
        <v>113</v>
      </c>
      <c r="C12" s="6" t="s">
        <v>120</v>
      </c>
      <c r="D12" s="6" t="s">
        <v>111</v>
      </c>
      <c r="E12" s="6" t="s">
        <v>112</v>
      </c>
      <c r="F12" s="5" t="s">
        <v>143</v>
      </c>
      <c r="G12" s="6" t="s">
        <v>144</v>
      </c>
      <c r="H12" s="6" t="s">
        <v>125</v>
      </c>
    </row>
    <row r="13" spans="1:8" ht="116" x14ac:dyDescent="0.35">
      <c r="A13" s="6" t="s">
        <v>13</v>
      </c>
      <c r="B13" s="6" t="s">
        <v>191</v>
      </c>
      <c r="C13" s="6" t="s">
        <v>192</v>
      </c>
      <c r="D13" s="6" t="s">
        <v>193</v>
      </c>
      <c r="E13" s="6" t="s">
        <v>231</v>
      </c>
      <c r="F13" s="5" t="s">
        <v>194</v>
      </c>
      <c r="G13" s="6" t="s">
        <v>166</v>
      </c>
      <c r="H13" s="6" t="s">
        <v>124</v>
      </c>
    </row>
    <row r="14" spans="1:8" ht="116" x14ac:dyDescent="0.35">
      <c r="A14" s="6" t="s">
        <v>14</v>
      </c>
      <c r="B14" s="6" t="s">
        <v>187</v>
      </c>
      <c r="C14" s="6" t="s">
        <v>188</v>
      </c>
      <c r="D14" s="6" t="s">
        <v>189</v>
      </c>
      <c r="E14" s="6" t="s">
        <v>232</v>
      </c>
      <c r="F14" s="5" t="s">
        <v>190</v>
      </c>
      <c r="G14" s="6" t="s">
        <v>166</v>
      </c>
      <c r="H14" s="6" t="s">
        <v>124</v>
      </c>
    </row>
    <row r="15" spans="1:8" ht="87" x14ac:dyDescent="0.35">
      <c r="A15" s="6" t="s">
        <v>15</v>
      </c>
      <c r="B15" s="6" t="s">
        <v>182</v>
      </c>
      <c r="C15" s="6" t="s">
        <v>183</v>
      </c>
      <c r="D15" s="6" t="s">
        <v>184</v>
      </c>
      <c r="E15" s="6" t="s">
        <v>233</v>
      </c>
      <c r="F15" s="5" t="s">
        <v>185</v>
      </c>
      <c r="G15" s="6" t="s">
        <v>186</v>
      </c>
      <c r="H15" s="6" t="s">
        <v>124</v>
      </c>
    </row>
    <row r="16" spans="1:8" ht="130.5" x14ac:dyDescent="0.35">
      <c r="A16" s="6" t="s">
        <v>16</v>
      </c>
      <c r="B16" s="6" t="s">
        <v>123</v>
      </c>
      <c r="C16" s="6" t="s">
        <v>121</v>
      </c>
      <c r="D16" s="6" t="s">
        <v>117</v>
      </c>
      <c r="E16" s="6" t="s">
        <v>118</v>
      </c>
      <c r="F16" s="5" t="s">
        <v>145</v>
      </c>
      <c r="G16" s="6" t="s">
        <v>146</v>
      </c>
      <c r="H16" s="6" t="s">
        <v>125</v>
      </c>
    </row>
    <row r="17" spans="1:8" ht="87" x14ac:dyDescent="0.35">
      <c r="A17" s="6" t="s">
        <v>17</v>
      </c>
      <c r="B17" s="6" t="s">
        <v>126</v>
      </c>
      <c r="C17" s="6" t="s">
        <v>103</v>
      </c>
      <c r="D17" s="6" t="s">
        <v>94</v>
      </c>
      <c r="E17" s="6" t="s">
        <v>95</v>
      </c>
      <c r="F17" s="5" t="s">
        <v>155</v>
      </c>
      <c r="G17" s="6" t="s">
        <v>156</v>
      </c>
      <c r="H17" s="6" t="s">
        <v>125</v>
      </c>
    </row>
    <row r="18" spans="1:8" ht="87" x14ac:dyDescent="0.35">
      <c r="A18" s="6" t="s">
        <v>18</v>
      </c>
      <c r="B18" s="6" t="s">
        <v>177</v>
      </c>
      <c r="C18" s="6" t="s">
        <v>178</v>
      </c>
      <c r="D18" s="6" t="s">
        <v>179</v>
      </c>
      <c r="E18" s="6" t="s">
        <v>234</v>
      </c>
      <c r="F18" s="5" t="s">
        <v>180</v>
      </c>
      <c r="G18" s="6" t="s">
        <v>181</v>
      </c>
      <c r="H18" s="6" t="s">
        <v>124</v>
      </c>
    </row>
    <row r="19" spans="1:8" ht="130.5" x14ac:dyDescent="0.35">
      <c r="A19" s="6" t="s">
        <v>19</v>
      </c>
      <c r="B19" s="6" t="s">
        <v>116</v>
      </c>
      <c r="C19" s="6" t="s">
        <v>147</v>
      </c>
      <c r="D19" s="6" t="s">
        <v>114</v>
      </c>
      <c r="E19" s="6" t="s">
        <v>115</v>
      </c>
      <c r="F19" s="5" t="s">
        <v>148</v>
      </c>
      <c r="G19" s="6" t="s">
        <v>149</v>
      </c>
      <c r="H19" s="6" t="s">
        <v>125</v>
      </c>
    </row>
    <row r="20" spans="1:8" ht="101.5" x14ac:dyDescent="0.35">
      <c r="A20" s="6" t="s">
        <v>20</v>
      </c>
      <c r="B20" s="6" t="s">
        <v>119</v>
      </c>
      <c r="C20" s="6" t="s">
        <v>150</v>
      </c>
      <c r="D20" s="6" t="s">
        <v>101</v>
      </c>
      <c r="E20" s="6" t="s">
        <v>102</v>
      </c>
      <c r="F20" s="5" t="s">
        <v>151</v>
      </c>
      <c r="G20" s="6" t="s">
        <v>152</v>
      </c>
      <c r="H20" s="6" t="s">
        <v>125</v>
      </c>
    </row>
    <row r="21" spans="1:8" ht="87" x14ac:dyDescent="0.35">
      <c r="A21" s="6" t="s">
        <v>21</v>
      </c>
      <c r="B21" s="6" t="s">
        <v>171</v>
      </c>
      <c r="C21" s="6" t="s">
        <v>172</v>
      </c>
      <c r="D21" s="6" t="s">
        <v>173</v>
      </c>
      <c r="E21" s="6" t="s">
        <v>174</v>
      </c>
      <c r="F21" s="5" t="s">
        <v>175</v>
      </c>
      <c r="G21" s="6" t="s">
        <v>176</v>
      </c>
      <c r="H21" s="6" t="s">
        <v>124</v>
      </c>
    </row>
    <row r="22" spans="1:8" ht="87" x14ac:dyDescent="0.35">
      <c r="A22" s="6" t="s">
        <v>22</v>
      </c>
      <c r="B22" s="6" t="s">
        <v>167</v>
      </c>
      <c r="C22" s="6" t="s">
        <v>168</v>
      </c>
      <c r="D22" s="6" t="s">
        <v>169</v>
      </c>
      <c r="E22" s="6" t="s">
        <v>235</v>
      </c>
      <c r="F22" s="5" t="s">
        <v>170</v>
      </c>
      <c r="G22" s="6" t="s">
        <v>166</v>
      </c>
      <c r="H22" s="6" t="s">
        <v>124</v>
      </c>
    </row>
    <row r="23" spans="1:8" ht="72.5" x14ac:dyDescent="0.35">
      <c r="A23" s="6" t="s">
        <v>23</v>
      </c>
      <c r="B23" s="6" t="s">
        <v>162</v>
      </c>
      <c r="C23" s="6" t="s">
        <v>163</v>
      </c>
      <c r="D23" s="6" t="s">
        <v>164</v>
      </c>
      <c r="E23" s="6" t="s">
        <v>236</v>
      </c>
      <c r="F23" s="5" t="s">
        <v>165</v>
      </c>
      <c r="G23" s="6" t="s">
        <v>166</v>
      </c>
      <c r="H23" s="6" t="s">
        <v>124</v>
      </c>
    </row>
    <row r="24" spans="1:8" ht="116" x14ac:dyDescent="0.35">
      <c r="A24" s="6" t="s">
        <v>24</v>
      </c>
      <c r="B24" s="6" t="s">
        <v>110</v>
      </c>
      <c r="C24" s="6" t="s">
        <v>122</v>
      </c>
      <c r="D24" s="6" t="s">
        <v>108</v>
      </c>
      <c r="E24" s="6" t="s">
        <v>109</v>
      </c>
      <c r="F24" s="5" t="s">
        <v>153</v>
      </c>
      <c r="G24" s="6" t="s">
        <v>154</v>
      </c>
      <c r="H24" s="6" t="s">
        <v>125</v>
      </c>
    </row>
    <row r="25" spans="1:8" ht="72.5" x14ac:dyDescent="0.35">
      <c r="A25" s="6" t="s">
        <v>25</v>
      </c>
      <c r="B25" s="6" t="s">
        <v>219</v>
      </c>
      <c r="C25" s="6" t="s">
        <v>157</v>
      </c>
      <c r="D25" s="6" t="s">
        <v>96</v>
      </c>
      <c r="E25" s="6" t="s">
        <v>97</v>
      </c>
      <c r="F25" s="5" t="s">
        <v>98</v>
      </c>
      <c r="G25" s="6" t="s">
        <v>158</v>
      </c>
      <c r="H25" s="6" t="s">
        <v>125</v>
      </c>
    </row>
    <row r="26" spans="1:8" ht="101.5" x14ac:dyDescent="0.35">
      <c r="A26" s="6" t="s">
        <v>26</v>
      </c>
      <c r="B26" s="6" t="s">
        <v>220</v>
      </c>
      <c r="C26" s="6" t="s">
        <v>159</v>
      </c>
      <c r="D26" s="6" t="s">
        <v>99</v>
      </c>
      <c r="E26" s="6" t="s">
        <v>100</v>
      </c>
      <c r="F26" s="5" t="s">
        <v>160</v>
      </c>
      <c r="G26" s="6" t="s">
        <v>161</v>
      </c>
      <c r="H26" s="6" t="s">
        <v>125</v>
      </c>
    </row>
    <row r="27" spans="1:8" x14ac:dyDescent="0.35">
      <c r="A27" s="6" t="s">
        <v>27</v>
      </c>
      <c r="B27" s="10"/>
      <c r="C27" s="11"/>
      <c r="D27" s="10"/>
      <c r="E27" s="10"/>
      <c r="F27" s="10"/>
      <c r="G27" s="8"/>
      <c r="H27" s="6">
        <f>Übersicht!D27</f>
        <v>0</v>
      </c>
    </row>
    <row r="28" spans="1:8" x14ac:dyDescent="0.35">
      <c r="H28" s="6">
        <f>Übersicht!D28</f>
        <v>0</v>
      </c>
    </row>
    <row r="38" spans="1:6" ht="87" customHeight="1" x14ac:dyDescent="0.35"/>
    <row r="39" spans="1:6" x14ac:dyDescent="0.35">
      <c r="A39" s="10"/>
      <c r="B39" s="11"/>
      <c r="C39" s="10"/>
      <c r="D39" s="10"/>
      <c r="E39" s="10"/>
      <c r="F39" s="8"/>
    </row>
    <row r="40" spans="1:6" x14ac:dyDescent="0.35">
      <c r="A40" s="10"/>
      <c r="B40" s="11"/>
      <c r="C40" s="10"/>
      <c r="D40" s="10"/>
      <c r="E40" s="10"/>
      <c r="F40" s="8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4643-D3EA-45A4-9542-D7F545A431FF}">
  <dimension ref="A1:K9"/>
  <sheetViews>
    <sheetView workbookViewId="0">
      <selection activeCell="B2" sqref="B2"/>
    </sheetView>
  </sheetViews>
  <sheetFormatPr baseColWidth="10" defaultRowHeight="14.5" x14ac:dyDescent="0.35"/>
  <cols>
    <col min="1" max="1" width="23.36328125" customWidth="1"/>
    <col min="2" max="2" width="25.81640625" customWidth="1"/>
    <col min="3" max="3" width="30.6328125" customWidth="1"/>
    <col min="4" max="4" width="29.6328125" customWidth="1"/>
    <col min="5" max="5" width="21.6328125" bestFit="1" customWidth="1"/>
    <col min="6" max="6" width="22.1796875" bestFit="1" customWidth="1"/>
    <col min="7" max="7" width="12.81640625" customWidth="1"/>
  </cols>
  <sheetData>
    <row r="1" spans="1:11" ht="29" x14ac:dyDescent="0.35">
      <c r="A1" s="16" t="s">
        <v>261</v>
      </c>
      <c r="B1" s="16" t="s">
        <v>255</v>
      </c>
      <c r="C1" s="16" t="s">
        <v>262</v>
      </c>
      <c r="D1" s="16" t="s">
        <v>263</v>
      </c>
      <c r="E1" s="128"/>
      <c r="F1" s="128"/>
      <c r="G1" s="128"/>
      <c r="H1" s="128"/>
      <c r="I1" s="128"/>
      <c r="J1" s="128"/>
      <c r="K1" s="128"/>
    </row>
    <row r="2" spans="1:11" ht="29" x14ac:dyDescent="0.35">
      <c r="A2" s="16" t="s">
        <v>251</v>
      </c>
      <c r="B2" s="14" t="s">
        <v>266</v>
      </c>
      <c r="C2" s="14" t="s">
        <v>267</v>
      </c>
      <c r="D2" s="14" t="s">
        <v>268</v>
      </c>
      <c r="E2" s="12"/>
      <c r="F2" s="12"/>
      <c r="G2" s="12"/>
      <c r="H2" s="12"/>
      <c r="I2" s="12"/>
      <c r="J2" s="12"/>
      <c r="K2" s="12"/>
    </row>
    <row r="3" spans="1:11" ht="29" x14ac:dyDescent="0.35">
      <c r="A3" s="16" t="s">
        <v>252</v>
      </c>
      <c r="B3" s="14" t="s">
        <v>269</v>
      </c>
      <c r="C3" s="14" t="s">
        <v>270</v>
      </c>
      <c r="D3" s="14" t="s">
        <v>271</v>
      </c>
      <c r="G3" s="6"/>
      <c r="H3" s="6"/>
      <c r="I3" s="6"/>
      <c r="J3" s="6"/>
      <c r="K3" s="6"/>
    </row>
    <row r="4" spans="1:11" ht="29" x14ac:dyDescent="0.35">
      <c r="A4" s="16" t="s">
        <v>264</v>
      </c>
      <c r="B4" s="14" t="s">
        <v>272</v>
      </c>
      <c r="C4" s="14" t="s">
        <v>273</v>
      </c>
      <c r="D4" s="14" t="s">
        <v>267</v>
      </c>
      <c r="G4" s="6"/>
      <c r="H4" s="6"/>
      <c r="I4" s="6"/>
      <c r="J4" s="6"/>
      <c r="K4" s="6"/>
    </row>
    <row r="5" spans="1:11" ht="43.5" customHeight="1" x14ac:dyDescent="0.35">
      <c r="A5" s="16" t="s">
        <v>253</v>
      </c>
      <c r="B5" s="14" t="s">
        <v>267</v>
      </c>
      <c r="C5" s="14" t="s">
        <v>267</v>
      </c>
      <c r="D5" s="14" t="s">
        <v>267</v>
      </c>
      <c r="G5" s="6"/>
      <c r="H5" s="6"/>
      <c r="I5" s="6"/>
      <c r="J5" s="6"/>
      <c r="K5" s="6"/>
    </row>
    <row r="6" spans="1:11" ht="29" x14ac:dyDescent="0.35">
      <c r="A6" s="16" t="s">
        <v>254</v>
      </c>
      <c r="B6" s="14" t="s">
        <v>274</v>
      </c>
      <c r="C6" s="14" t="s">
        <v>274</v>
      </c>
      <c r="D6" s="14" t="s">
        <v>275</v>
      </c>
      <c r="G6" s="6"/>
      <c r="H6" s="6"/>
      <c r="I6" s="6"/>
      <c r="J6" s="6"/>
      <c r="K6" s="6"/>
    </row>
    <row r="7" spans="1:11" x14ac:dyDescent="0.35">
      <c r="A7" s="16" t="s">
        <v>265</v>
      </c>
      <c r="B7" s="14" t="s">
        <v>276</v>
      </c>
      <c r="C7" s="14" t="s">
        <v>276</v>
      </c>
      <c r="D7" s="14" t="s">
        <v>276</v>
      </c>
      <c r="G7" s="6"/>
      <c r="H7" s="6"/>
      <c r="I7" s="6"/>
      <c r="J7" s="6"/>
      <c r="K7" s="6"/>
    </row>
    <row r="8" spans="1:11" x14ac:dyDescent="0.35">
      <c r="G8" s="6"/>
      <c r="H8" s="6"/>
      <c r="I8" s="6"/>
      <c r="J8" s="6"/>
      <c r="K8" s="6"/>
    </row>
    <row r="9" spans="1:11" x14ac:dyDescent="0.35">
      <c r="G9" s="6"/>
      <c r="H9" s="6"/>
      <c r="I9" s="6"/>
      <c r="J9" s="6"/>
      <c r="K9" s="6"/>
    </row>
  </sheetData>
  <mergeCells count="2">
    <mergeCell ref="E1:G1"/>
    <mergeCell ref="H1:K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A8CB-0E26-4BA0-9A56-ABABF13F5155}">
  <dimension ref="A1:D7"/>
  <sheetViews>
    <sheetView zoomScaleNormal="100" workbookViewId="0">
      <selection activeCell="B12" sqref="B12"/>
    </sheetView>
  </sheetViews>
  <sheetFormatPr baseColWidth="10" defaultRowHeight="14.5" x14ac:dyDescent="0.35"/>
  <cols>
    <col min="1" max="1" width="29.36328125" customWidth="1"/>
    <col min="2" max="2" width="46.453125" customWidth="1"/>
    <col min="3" max="3" width="54.36328125" customWidth="1"/>
    <col min="4" max="4" width="61.453125" customWidth="1"/>
  </cols>
  <sheetData>
    <row r="1" spans="1:4" x14ac:dyDescent="0.35">
      <c r="A1" s="15" t="s">
        <v>261</v>
      </c>
      <c r="B1" s="15" t="s">
        <v>255</v>
      </c>
      <c r="C1" s="15" t="s">
        <v>262</v>
      </c>
      <c r="D1" s="15" t="s">
        <v>263</v>
      </c>
    </row>
    <row r="2" spans="1:4" ht="50" x14ac:dyDescent="0.35">
      <c r="A2" s="15" t="s">
        <v>251</v>
      </c>
      <c r="B2" s="25" t="s">
        <v>450</v>
      </c>
      <c r="C2" s="25" t="s">
        <v>451</v>
      </c>
      <c r="D2" s="25" t="s">
        <v>447</v>
      </c>
    </row>
    <row r="3" spans="1:4" ht="50" x14ac:dyDescent="0.35">
      <c r="A3" s="15" t="s">
        <v>252</v>
      </c>
      <c r="B3" s="25" t="s">
        <v>452</v>
      </c>
      <c r="C3" s="25" t="s">
        <v>453</v>
      </c>
      <c r="D3" s="25" t="s">
        <v>454</v>
      </c>
    </row>
    <row r="4" spans="1:4" ht="49.5" customHeight="1" x14ac:dyDescent="0.35">
      <c r="A4" s="15" t="s">
        <v>264</v>
      </c>
      <c r="B4" s="25" t="s">
        <v>467</v>
      </c>
      <c r="C4" s="25" t="s">
        <v>468</v>
      </c>
      <c r="D4" s="25" t="s">
        <v>469</v>
      </c>
    </row>
    <row r="5" spans="1:4" ht="29" x14ac:dyDescent="0.35">
      <c r="A5" s="15" t="s">
        <v>253</v>
      </c>
      <c r="B5" s="25" t="s">
        <v>455</v>
      </c>
      <c r="C5" s="25" t="s">
        <v>448</v>
      </c>
      <c r="D5" s="25" t="s">
        <v>456</v>
      </c>
    </row>
    <row r="6" spans="1:4" ht="37.5" x14ac:dyDescent="0.35">
      <c r="A6" s="15" t="s">
        <v>254</v>
      </c>
      <c r="B6" s="25" t="s">
        <v>449</v>
      </c>
      <c r="C6" s="25" t="s">
        <v>457</v>
      </c>
      <c r="D6" s="25" t="s">
        <v>458</v>
      </c>
    </row>
    <row r="7" spans="1:4" ht="33.5" customHeight="1" x14ac:dyDescent="0.35">
      <c r="A7" s="15" t="s">
        <v>265</v>
      </c>
      <c r="B7" s="25" t="s">
        <v>312</v>
      </c>
      <c r="C7" s="25" t="s">
        <v>258</v>
      </c>
      <c r="D7" s="25" t="s">
        <v>459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2934-D9DD-4DAD-94D0-B1FDA5CB5F03}">
  <dimension ref="A1:F27"/>
  <sheetViews>
    <sheetView topLeftCell="A9" workbookViewId="0">
      <selection activeCell="A27" sqref="A27"/>
    </sheetView>
  </sheetViews>
  <sheetFormatPr baseColWidth="10" defaultRowHeight="14.5" x14ac:dyDescent="0.35"/>
  <cols>
    <col min="1" max="1" width="6" style="12" customWidth="1"/>
    <col min="2" max="2" width="33.1796875" customWidth="1"/>
    <col min="3" max="4" width="53.453125" customWidth="1"/>
  </cols>
  <sheetData>
    <row r="1" spans="1:6" s="12" customFormat="1" x14ac:dyDescent="0.35">
      <c r="A1" s="106" t="s">
        <v>0</v>
      </c>
      <c r="B1" s="107" t="s">
        <v>888</v>
      </c>
      <c r="C1" s="107" t="s">
        <v>889</v>
      </c>
      <c r="D1" s="108" t="s">
        <v>890</v>
      </c>
      <c r="E1" s="103"/>
      <c r="F1" s="103"/>
    </row>
    <row r="2" spans="1:6" ht="50" x14ac:dyDescent="0.35">
      <c r="A2" s="104" t="s">
        <v>2</v>
      </c>
      <c r="B2" s="25" t="s">
        <v>891</v>
      </c>
      <c r="C2" s="25" t="s">
        <v>910</v>
      </c>
      <c r="D2" s="105" t="s">
        <v>911</v>
      </c>
      <c r="E2" s="78"/>
      <c r="F2" s="78"/>
    </row>
    <row r="3" spans="1:6" ht="62.5" x14ac:dyDescent="0.35">
      <c r="A3" s="104" t="s">
        <v>3</v>
      </c>
      <c r="B3" s="25" t="s">
        <v>892</v>
      </c>
      <c r="C3" s="25" t="s">
        <v>912</v>
      </c>
      <c r="D3" s="105" t="s">
        <v>913</v>
      </c>
      <c r="E3" s="78"/>
      <c r="F3" s="78"/>
    </row>
    <row r="4" spans="1:6" ht="50" x14ac:dyDescent="0.35">
      <c r="A4" s="104" t="s">
        <v>4</v>
      </c>
      <c r="B4" s="25" t="s">
        <v>893</v>
      </c>
      <c r="C4" s="25" t="s">
        <v>914</v>
      </c>
      <c r="D4" s="105" t="s">
        <v>915</v>
      </c>
      <c r="E4" s="78"/>
      <c r="F4" s="78"/>
    </row>
    <row r="5" spans="1:6" ht="75" x14ac:dyDescent="0.35">
      <c r="A5" s="104" t="s">
        <v>5</v>
      </c>
      <c r="B5" s="25" t="s">
        <v>894</v>
      </c>
      <c r="C5" s="25" t="s">
        <v>916</v>
      </c>
      <c r="D5" s="105" t="s">
        <v>917</v>
      </c>
      <c r="E5" s="78"/>
      <c r="F5" s="78"/>
    </row>
    <row r="6" spans="1:6" ht="62.5" x14ac:dyDescent="0.35">
      <c r="A6" s="104" t="s">
        <v>6</v>
      </c>
      <c r="B6" s="25" t="s">
        <v>895</v>
      </c>
      <c r="C6" s="25" t="s">
        <v>918</v>
      </c>
      <c r="D6" s="105" t="s">
        <v>919</v>
      </c>
      <c r="E6" s="78"/>
      <c r="F6" s="78"/>
    </row>
    <row r="7" spans="1:6" ht="50" x14ac:dyDescent="0.35">
      <c r="A7" s="104" t="s">
        <v>7</v>
      </c>
      <c r="B7" s="25" t="s">
        <v>896</v>
      </c>
      <c r="C7" s="25" t="s">
        <v>920</v>
      </c>
      <c r="D7" s="105" t="s">
        <v>921</v>
      </c>
      <c r="E7" s="78"/>
      <c r="F7" s="78"/>
    </row>
    <row r="8" spans="1:6" ht="37.5" x14ac:dyDescent="0.35">
      <c r="A8" s="104" t="s">
        <v>8</v>
      </c>
      <c r="B8" s="25" t="s">
        <v>901</v>
      </c>
      <c r="C8" s="25" t="s">
        <v>930</v>
      </c>
      <c r="D8" s="105" t="s">
        <v>931</v>
      </c>
      <c r="E8" s="78"/>
      <c r="F8" s="78"/>
    </row>
    <row r="9" spans="1:6" ht="50" x14ac:dyDescent="0.35">
      <c r="A9" s="104" t="s">
        <v>9</v>
      </c>
      <c r="B9" s="25" t="s">
        <v>898</v>
      </c>
      <c r="C9" s="25" t="s">
        <v>924</v>
      </c>
      <c r="D9" s="105" t="s">
        <v>925</v>
      </c>
      <c r="E9" s="78"/>
      <c r="F9" s="78"/>
    </row>
    <row r="10" spans="1:6" ht="37.5" hidden="1" x14ac:dyDescent="0.35">
      <c r="A10" s="104" t="s">
        <v>10</v>
      </c>
      <c r="B10" s="25" t="s">
        <v>897</v>
      </c>
      <c r="C10" s="25" t="s">
        <v>922</v>
      </c>
      <c r="D10" s="105" t="s">
        <v>923</v>
      </c>
      <c r="E10" s="78"/>
      <c r="F10" s="78"/>
    </row>
    <row r="11" spans="1:6" x14ac:dyDescent="0.35">
      <c r="A11" s="104" t="s">
        <v>10</v>
      </c>
      <c r="B11" s="25"/>
      <c r="C11" s="25"/>
      <c r="D11" s="105"/>
      <c r="E11" s="78"/>
      <c r="F11" s="78"/>
    </row>
    <row r="12" spans="1:6" ht="50" x14ac:dyDescent="0.35">
      <c r="A12" s="104" t="s">
        <v>11</v>
      </c>
      <c r="B12" s="25" t="s">
        <v>903</v>
      </c>
      <c r="C12" s="25" t="s">
        <v>934</v>
      </c>
      <c r="D12" s="105" t="s">
        <v>935</v>
      </c>
      <c r="E12" s="78"/>
      <c r="F12" s="78"/>
    </row>
    <row r="13" spans="1:6" ht="50" x14ac:dyDescent="0.35">
      <c r="A13" s="104" t="s">
        <v>12</v>
      </c>
      <c r="B13" s="25" t="s">
        <v>902</v>
      </c>
      <c r="C13" s="25" t="s">
        <v>932</v>
      </c>
      <c r="D13" s="105" t="s">
        <v>933</v>
      </c>
      <c r="E13" s="78"/>
      <c r="F13" s="78"/>
    </row>
    <row r="14" spans="1:6" ht="37.5" x14ac:dyDescent="0.35">
      <c r="A14" s="104" t="s">
        <v>13</v>
      </c>
      <c r="B14" s="25" t="s">
        <v>42</v>
      </c>
      <c r="C14" s="25" t="s">
        <v>604</v>
      </c>
      <c r="D14" s="105" t="s">
        <v>602</v>
      </c>
      <c r="E14" s="78"/>
      <c r="F14" s="78"/>
    </row>
    <row r="15" spans="1:6" ht="25" x14ac:dyDescent="0.35">
      <c r="A15" s="104" t="s">
        <v>14</v>
      </c>
      <c r="B15" s="25" t="s">
        <v>43</v>
      </c>
      <c r="C15" s="25" t="s">
        <v>948</v>
      </c>
      <c r="D15" s="105" t="s">
        <v>949</v>
      </c>
      <c r="E15" s="78"/>
      <c r="F15" s="78"/>
    </row>
    <row r="16" spans="1:6" ht="100" x14ac:dyDescent="0.35">
      <c r="A16" s="104" t="s">
        <v>15</v>
      </c>
      <c r="B16" s="25" t="s">
        <v>899</v>
      </c>
      <c r="C16" s="25" t="s">
        <v>926</v>
      </c>
      <c r="D16" s="105" t="s">
        <v>927</v>
      </c>
      <c r="E16" s="78"/>
      <c r="F16" s="78"/>
    </row>
    <row r="17" spans="1:6" ht="50" x14ac:dyDescent="0.35">
      <c r="A17" s="104" t="s">
        <v>16</v>
      </c>
      <c r="B17" s="25" t="s">
        <v>904</v>
      </c>
      <c r="C17" s="25" t="s">
        <v>936</v>
      </c>
      <c r="D17" s="105" t="s">
        <v>937</v>
      </c>
      <c r="E17" s="78"/>
      <c r="F17" s="78"/>
    </row>
    <row r="18" spans="1:6" ht="62.5" hidden="1" x14ac:dyDescent="0.35">
      <c r="A18" s="104" t="s">
        <v>18</v>
      </c>
      <c r="B18" s="25" t="s">
        <v>905</v>
      </c>
      <c r="C18" s="25" t="s">
        <v>938</v>
      </c>
      <c r="D18" s="105" t="s">
        <v>939</v>
      </c>
      <c r="E18" s="78"/>
      <c r="F18" s="78"/>
    </row>
    <row r="19" spans="1:6" ht="37.5" x14ac:dyDescent="0.35">
      <c r="A19" s="104" t="s">
        <v>17</v>
      </c>
      <c r="B19" s="25" t="s">
        <v>906</v>
      </c>
      <c r="C19" s="25" t="s">
        <v>940</v>
      </c>
      <c r="D19" s="105" t="s">
        <v>941</v>
      </c>
      <c r="E19" s="78"/>
      <c r="F19" s="78"/>
    </row>
    <row r="20" spans="1:6" ht="50" x14ac:dyDescent="0.35">
      <c r="A20" s="104" t="s">
        <v>18</v>
      </c>
      <c r="B20" s="25" t="s">
        <v>907</v>
      </c>
      <c r="C20" s="25" t="s">
        <v>942</v>
      </c>
      <c r="D20" s="105" t="s">
        <v>943</v>
      </c>
      <c r="E20" s="78"/>
      <c r="F20" s="78"/>
    </row>
    <row r="21" spans="1:6" ht="37.5" hidden="1" x14ac:dyDescent="0.35">
      <c r="A21" s="104" t="s">
        <v>21</v>
      </c>
      <c r="B21" s="25" t="s">
        <v>908</v>
      </c>
      <c r="C21" s="25" t="s">
        <v>944</v>
      </c>
      <c r="D21" s="105" t="s">
        <v>945</v>
      </c>
      <c r="E21" s="78"/>
      <c r="F21" s="78"/>
    </row>
    <row r="22" spans="1:6" ht="50" x14ac:dyDescent="0.35">
      <c r="A22" s="104" t="s">
        <v>19</v>
      </c>
      <c r="B22" s="25" t="s">
        <v>900</v>
      </c>
      <c r="C22" s="25" t="s">
        <v>928</v>
      </c>
      <c r="D22" s="105" t="s">
        <v>929</v>
      </c>
      <c r="E22" s="78"/>
      <c r="F22" s="78"/>
    </row>
    <row r="23" spans="1:6" ht="62.5" x14ac:dyDescent="0.35">
      <c r="A23" s="104" t="s">
        <v>20</v>
      </c>
      <c r="B23" s="25" t="s">
        <v>909</v>
      </c>
      <c r="C23" s="25" t="s">
        <v>946</v>
      </c>
      <c r="D23" s="105" t="s">
        <v>947</v>
      </c>
      <c r="E23" s="78"/>
      <c r="F23" s="78"/>
    </row>
    <row r="24" spans="1:6" hidden="1" x14ac:dyDescent="0.35">
      <c r="A24"/>
    </row>
    <row r="25" spans="1:6" hidden="1" x14ac:dyDescent="0.35">
      <c r="A25"/>
      <c r="E25" s="78"/>
      <c r="F25" s="78"/>
    </row>
    <row r="26" spans="1:6" x14ac:dyDescent="0.35">
      <c r="A26" s="109" t="s">
        <v>21</v>
      </c>
      <c r="B26" s="110"/>
      <c r="C26" s="110"/>
      <c r="D26" s="111"/>
      <c r="E26" s="78"/>
      <c r="F26" s="78"/>
    </row>
    <row r="27" spans="1:6" x14ac:dyDescent="0.35">
      <c r="A27" s="109" t="s">
        <v>3</v>
      </c>
      <c r="B27" s="110"/>
      <c r="C27" s="110"/>
      <c r="D27" s="111"/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3B24-74BF-4CCC-8242-8349068B67F5}">
  <dimension ref="A1:V19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baseColWidth="10" defaultRowHeight="14.5" x14ac:dyDescent="0.35"/>
  <cols>
    <col min="1" max="1" width="15.1796875" bestFit="1" customWidth="1"/>
    <col min="2" max="2" width="43.36328125" bestFit="1" customWidth="1"/>
    <col min="3" max="3" width="34.1796875" bestFit="1" customWidth="1"/>
    <col min="4" max="4" width="36.81640625" bestFit="1" customWidth="1"/>
    <col min="5" max="5" width="30.81640625" customWidth="1"/>
    <col min="6" max="6" width="35" bestFit="1" customWidth="1"/>
    <col min="7" max="7" width="35.81640625" bestFit="1" customWidth="1"/>
    <col min="8" max="8" width="31.6328125" bestFit="1" customWidth="1"/>
    <col min="9" max="9" width="36.81640625" customWidth="1"/>
    <col min="10" max="10" width="38.6328125" bestFit="1" customWidth="1"/>
    <col min="11" max="11" width="35" bestFit="1" customWidth="1"/>
    <col min="12" max="12" width="34.6328125" bestFit="1" customWidth="1"/>
    <col min="13" max="13" width="37.6328125" bestFit="1" customWidth="1"/>
    <col min="14" max="14" width="36.81640625" bestFit="1" customWidth="1"/>
    <col min="15" max="15" width="41.453125" bestFit="1" customWidth="1"/>
    <col min="16" max="18" width="36.81640625" customWidth="1"/>
    <col min="19" max="19" width="36.6328125" bestFit="1" customWidth="1"/>
    <col min="20" max="21" width="36.81640625" customWidth="1"/>
    <col min="22" max="22" width="37.36328125" bestFit="1" customWidth="1"/>
  </cols>
  <sheetData>
    <row r="1" spans="1:22" x14ac:dyDescent="0.35">
      <c r="A1" s="50" t="s">
        <v>238</v>
      </c>
      <c r="B1" s="42" t="s">
        <v>313</v>
      </c>
      <c r="C1" s="43" t="s">
        <v>285</v>
      </c>
      <c r="D1" s="43" t="s">
        <v>286</v>
      </c>
      <c r="E1" s="43" t="s">
        <v>287</v>
      </c>
      <c r="F1" s="42" t="s">
        <v>358</v>
      </c>
      <c r="G1" s="43" t="s">
        <v>359</v>
      </c>
      <c r="H1" s="43" t="s">
        <v>360</v>
      </c>
      <c r="I1" s="42" t="s">
        <v>460</v>
      </c>
      <c r="J1" s="43" t="s">
        <v>361</v>
      </c>
      <c r="K1" s="43" t="s">
        <v>362</v>
      </c>
      <c r="L1" s="43" t="s">
        <v>950</v>
      </c>
      <c r="M1" s="43" t="s">
        <v>951</v>
      </c>
      <c r="N1" s="44" t="s">
        <v>952</v>
      </c>
      <c r="O1" s="45" t="s">
        <v>953</v>
      </c>
      <c r="P1" s="38" t="s">
        <v>954</v>
      </c>
      <c r="Q1" s="42" t="s">
        <v>955</v>
      </c>
      <c r="R1" s="43" t="s">
        <v>956</v>
      </c>
      <c r="S1" s="43" t="s">
        <v>957</v>
      </c>
      <c r="T1" s="43" t="s">
        <v>1029</v>
      </c>
      <c r="U1" s="43" t="s">
        <v>958</v>
      </c>
      <c r="V1" s="44" t="s">
        <v>959</v>
      </c>
    </row>
    <row r="2" spans="1:22" ht="62.5" x14ac:dyDescent="0.35">
      <c r="A2" s="50" t="s">
        <v>470</v>
      </c>
      <c r="B2" s="102" t="s">
        <v>477</v>
      </c>
      <c r="C2" s="102" t="s">
        <v>478</v>
      </c>
      <c r="D2" s="102" t="s">
        <v>479</v>
      </c>
      <c r="E2" s="102" t="s">
        <v>480</v>
      </c>
      <c r="F2" s="25" t="s">
        <v>547</v>
      </c>
      <c r="G2" s="25" t="s">
        <v>536</v>
      </c>
      <c r="H2" s="25" t="s">
        <v>998</v>
      </c>
      <c r="I2" s="25" t="s">
        <v>632</v>
      </c>
      <c r="J2" s="25" t="s">
        <v>999</v>
      </c>
      <c r="K2" s="25" t="s">
        <v>542</v>
      </c>
      <c r="L2" s="25" t="s">
        <v>569</v>
      </c>
      <c r="M2" s="25" t="s">
        <v>570</v>
      </c>
      <c r="N2" s="25" t="s">
        <v>645</v>
      </c>
      <c r="O2" s="25" t="s">
        <v>1000</v>
      </c>
      <c r="P2" s="25" t="s">
        <v>644</v>
      </c>
      <c r="Q2" s="25" t="s">
        <v>646</v>
      </c>
      <c r="R2" s="25" t="s">
        <v>584</v>
      </c>
      <c r="S2" s="25" t="s">
        <v>656</v>
      </c>
      <c r="T2" s="25" t="s">
        <v>1030</v>
      </c>
      <c r="U2" s="25" t="s">
        <v>585</v>
      </c>
      <c r="V2" s="25" t="s">
        <v>586</v>
      </c>
    </row>
    <row r="3" spans="1:22" ht="139" x14ac:dyDescent="0.35">
      <c r="A3" s="50" t="s">
        <v>81</v>
      </c>
      <c r="B3" s="102" t="s">
        <v>851</v>
      </c>
      <c r="C3" s="102" t="s">
        <v>852</v>
      </c>
      <c r="D3" s="102" t="s">
        <v>853</v>
      </c>
      <c r="E3" s="102" t="s">
        <v>854</v>
      </c>
      <c r="F3" s="25" t="s">
        <v>855</v>
      </c>
      <c r="G3" s="25" t="s">
        <v>856</v>
      </c>
      <c r="H3" s="25" t="s">
        <v>857</v>
      </c>
      <c r="I3" s="25" t="s">
        <v>865</v>
      </c>
      <c r="J3" s="25" t="s">
        <v>866</v>
      </c>
      <c r="K3" s="25" t="s">
        <v>867</v>
      </c>
      <c r="L3" s="25" t="s">
        <v>868</v>
      </c>
      <c r="M3" s="25" t="s">
        <v>869</v>
      </c>
      <c r="N3" s="25" t="s">
        <v>870</v>
      </c>
      <c r="O3" s="25" t="s">
        <v>885</v>
      </c>
      <c r="P3" s="25" t="s">
        <v>871</v>
      </c>
      <c r="Q3" s="25" t="s">
        <v>872</v>
      </c>
      <c r="R3" s="25" t="s">
        <v>873</v>
      </c>
      <c r="S3" s="25" t="s">
        <v>874</v>
      </c>
      <c r="T3" s="25" t="s">
        <v>1048</v>
      </c>
      <c r="U3" s="25" t="s">
        <v>875</v>
      </c>
      <c r="V3" s="25" t="s">
        <v>876</v>
      </c>
    </row>
    <row r="4" spans="1:22" ht="126.5" x14ac:dyDescent="0.35">
      <c r="A4" s="50" t="s">
        <v>471</v>
      </c>
      <c r="B4" s="102" t="s">
        <v>858</v>
      </c>
      <c r="C4" s="102" t="s">
        <v>887</v>
      </c>
      <c r="D4" s="102" t="s">
        <v>859</v>
      </c>
      <c r="E4" s="102" t="s">
        <v>860</v>
      </c>
      <c r="F4" s="25" t="s">
        <v>861</v>
      </c>
      <c r="G4" s="25" t="s">
        <v>862</v>
      </c>
      <c r="H4" s="25" t="s">
        <v>863</v>
      </c>
      <c r="I4" s="25" t="s">
        <v>877</v>
      </c>
      <c r="J4" s="25" t="s">
        <v>878</v>
      </c>
      <c r="K4" s="25" t="s">
        <v>879</v>
      </c>
      <c r="L4" s="25" t="s">
        <v>880</v>
      </c>
      <c r="M4" s="25" t="s">
        <v>548</v>
      </c>
      <c r="N4" s="25" t="s">
        <v>881</v>
      </c>
      <c r="O4" s="25" t="s">
        <v>549</v>
      </c>
      <c r="P4" s="25" t="s">
        <v>550</v>
      </c>
      <c r="Q4" s="25" t="s">
        <v>571</v>
      </c>
      <c r="R4" s="25" t="s">
        <v>579</v>
      </c>
      <c r="S4" s="25" t="s">
        <v>653</v>
      </c>
      <c r="T4" s="25" t="s">
        <v>1053</v>
      </c>
      <c r="U4" s="25" t="s">
        <v>580</v>
      </c>
      <c r="V4" s="25" t="s">
        <v>581</v>
      </c>
    </row>
    <row r="5" spans="1:22" ht="33.5" customHeight="1" x14ac:dyDescent="0.35">
      <c r="A5" s="50" t="s">
        <v>472</v>
      </c>
      <c r="B5" s="119" t="s">
        <v>1015</v>
      </c>
      <c r="C5" s="119" t="s">
        <v>1014</v>
      </c>
      <c r="D5" s="119" t="s">
        <v>1014</v>
      </c>
      <c r="E5" s="119" t="s">
        <v>252</v>
      </c>
      <c r="F5" s="119" t="s">
        <v>1014</v>
      </c>
      <c r="G5" s="119" t="s">
        <v>1063</v>
      </c>
      <c r="H5" s="119" t="s">
        <v>1014</v>
      </c>
      <c r="I5" s="118" t="s">
        <v>264</v>
      </c>
      <c r="J5" s="118" t="s">
        <v>1054</v>
      </c>
      <c r="K5" s="118" t="s">
        <v>1016</v>
      </c>
      <c r="L5" s="118" t="s">
        <v>1014</v>
      </c>
      <c r="M5" s="118" t="s">
        <v>1055</v>
      </c>
      <c r="N5" s="118" t="s">
        <v>1052</v>
      </c>
      <c r="O5" s="118" t="s">
        <v>1014</v>
      </c>
      <c r="P5" s="118" t="s">
        <v>1014</v>
      </c>
      <c r="Q5" s="118" t="s">
        <v>1014</v>
      </c>
      <c r="R5" s="118" t="s">
        <v>1016</v>
      </c>
      <c r="S5" s="118" t="s">
        <v>1016</v>
      </c>
      <c r="T5" s="118" t="s">
        <v>1052</v>
      </c>
      <c r="U5" s="118" t="s">
        <v>1016</v>
      </c>
      <c r="V5" s="118" t="s">
        <v>1015</v>
      </c>
    </row>
    <row r="6" spans="1:22" ht="139" x14ac:dyDescent="0.35">
      <c r="A6" s="50" t="s">
        <v>475</v>
      </c>
      <c r="B6" s="102" t="s">
        <v>864</v>
      </c>
      <c r="C6" s="102" t="s">
        <v>481</v>
      </c>
      <c r="D6" s="102" t="s">
        <v>486</v>
      </c>
      <c r="E6" s="102" t="s">
        <v>487</v>
      </c>
      <c r="F6" s="25" t="s">
        <v>534</v>
      </c>
      <c r="G6" s="25" t="s">
        <v>537</v>
      </c>
      <c r="H6" s="25" t="s">
        <v>538</v>
      </c>
      <c r="I6" s="25" t="s">
        <v>882</v>
      </c>
      <c r="J6" s="25" t="s">
        <v>883</v>
      </c>
      <c r="K6" s="25" t="s">
        <v>884</v>
      </c>
      <c r="L6" s="25" t="s">
        <v>551</v>
      </c>
      <c r="M6" s="25" t="s">
        <v>552</v>
      </c>
      <c r="N6" s="25" t="s">
        <v>553</v>
      </c>
      <c r="O6" s="25" t="s">
        <v>554</v>
      </c>
      <c r="P6" s="25" t="s">
        <v>555</v>
      </c>
      <c r="Q6" s="25" t="s">
        <v>556</v>
      </c>
      <c r="R6" s="25" t="s">
        <v>572</v>
      </c>
      <c r="S6" s="25" t="s">
        <v>654</v>
      </c>
      <c r="T6" s="25" t="s">
        <v>1049</v>
      </c>
      <c r="U6" s="25" t="s">
        <v>582</v>
      </c>
      <c r="V6" s="25" t="s">
        <v>583</v>
      </c>
    </row>
    <row r="7" spans="1:22" ht="62.5" x14ac:dyDescent="0.35">
      <c r="A7" s="50" t="s">
        <v>473</v>
      </c>
      <c r="B7" s="102" t="s">
        <v>886</v>
      </c>
      <c r="C7" s="102" t="s">
        <v>482</v>
      </c>
      <c r="D7" s="102" t="s">
        <v>485</v>
      </c>
      <c r="E7" s="102" t="s">
        <v>488</v>
      </c>
      <c r="F7" s="25" t="s">
        <v>530</v>
      </c>
      <c r="G7" s="25" t="s">
        <v>539</v>
      </c>
      <c r="H7" s="25" t="s">
        <v>540</v>
      </c>
      <c r="I7" s="25" t="s">
        <v>541</v>
      </c>
      <c r="J7" s="25" t="s">
        <v>544</v>
      </c>
      <c r="K7" s="25" t="s">
        <v>545</v>
      </c>
      <c r="L7" s="25" t="s">
        <v>557</v>
      </c>
      <c r="M7" s="25" t="s">
        <v>558</v>
      </c>
      <c r="N7" s="25" t="s">
        <v>559</v>
      </c>
      <c r="O7" s="25" t="s">
        <v>560</v>
      </c>
      <c r="P7" s="25" t="s">
        <v>561</v>
      </c>
      <c r="Q7" s="25" t="s">
        <v>562</v>
      </c>
      <c r="R7" s="25" t="s">
        <v>573</v>
      </c>
      <c r="S7" s="25" t="s">
        <v>652</v>
      </c>
      <c r="T7" s="25" t="s">
        <v>1050</v>
      </c>
      <c r="U7" s="25" t="s">
        <v>574</v>
      </c>
      <c r="V7" s="25" t="s">
        <v>575</v>
      </c>
    </row>
    <row r="8" spans="1:22" ht="100" x14ac:dyDescent="0.35">
      <c r="A8" s="50" t="s">
        <v>474</v>
      </c>
      <c r="B8" s="102" t="s">
        <v>484</v>
      </c>
      <c r="C8" s="102" t="s">
        <v>483</v>
      </c>
      <c r="D8" s="102" t="s">
        <v>489</v>
      </c>
      <c r="E8" s="102" t="s">
        <v>490</v>
      </c>
      <c r="F8" s="25" t="s">
        <v>535</v>
      </c>
      <c r="G8" s="25" t="s">
        <v>531</v>
      </c>
      <c r="H8" s="25" t="s">
        <v>532</v>
      </c>
      <c r="I8" s="25" t="s">
        <v>533</v>
      </c>
      <c r="J8" s="25" t="s">
        <v>546</v>
      </c>
      <c r="K8" s="25" t="s">
        <v>543</v>
      </c>
      <c r="L8" s="25" t="s">
        <v>563</v>
      </c>
      <c r="M8" s="25" t="s">
        <v>564</v>
      </c>
      <c r="N8" s="25" t="s">
        <v>565</v>
      </c>
      <c r="O8" s="25" t="s">
        <v>566</v>
      </c>
      <c r="P8" s="25" t="s">
        <v>567</v>
      </c>
      <c r="Q8" s="25" t="s">
        <v>568</v>
      </c>
      <c r="R8" s="25" t="s">
        <v>576</v>
      </c>
      <c r="S8" s="25" t="s">
        <v>655</v>
      </c>
      <c r="T8" s="25" t="s">
        <v>1051</v>
      </c>
      <c r="U8" s="25" t="s">
        <v>577</v>
      </c>
      <c r="V8" s="25" t="s">
        <v>578</v>
      </c>
    </row>
    <row r="13" spans="1:22" x14ac:dyDescent="0.35">
      <c r="B13" s="129"/>
      <c r="C13" s="129"/>
      <c r="G13" s="67"/>
    </row>
    <row r="14" spans="1:22" x14ac:dyDescent="0.35">
      <c r="B14" s="129"/>
      <c r="C14" s="129"/>
      <c r="G14" s="67"/>
    </row>
    <row r="15" spans="1:22" ht="100.5" customHeight="1" x14ac:dyDescent="0.35">
      <c r="B15" s="129"/>
      <c r="C15" s="129"/>
      <c r="G15" s="67"/>
    </row>
    <row r="16" spans="1:22" x14ac:dyDescent="0.35">
      <c r="G16" s="67"/>
    </row>
    <row r="17" spans="7:7" x14ac:dyDescent="0.35">
      <c r="G17" s="67"/>
    </row>
    <row r="18" spans="7:7" x14ac:dyDescent="0.35">
      <c r="G18" s="67"/>
    </row>
    <row r="19" spans="7:7" x14ac:dyDescent="0.35">
      <c r="G19" s="67"/>
    </row>
  </sheetData>
  <mergeCells count="1">
    <mergeCell ref="B13:C15"/>
  </mergeCells>
  <phoneticPr fontId="1" type="noConversion"/>
  <pageMargins left="0.7" right="0.7" top="0.78740157499999996" bottom="0.78740157499999996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7B41-1A7E-470B-A91F-E7D0772651A4}">
  <dimension ref="A1:AH28"/>
  <sheetViews>
    <sheetView zoomScale="70" zoomScaleNormal="70" workbookViewId="0">
      <pane xSplit="2" topLeftCell="J1" activePane="topRight" state="frozen"/>
      <selection pane="topRight" activeCell="D5" sqref="D5"/>
    </sheetView>
  </sheetViews>
  <sheetFormatPr baseColWidth="10" defaultRowHeight="14.5" x14ac:dyDescent="0.35"/>
  <cols>
    <col min="1" max="1" width="12.81640625" customWidth="1"/>
    <col min="2" max="2" width="20.36328125" style="14" customWidth="1"/>
    <col min="3" max="3" width="35" style="14" bestFit="1" customWidth="1"/>
    <col min="4" max="4" width="37.453125" style="14" customWidth="1"/>
    <col min="5" max="5" width="27" style="14" bestFit="1" customWidth="1"/>
    <col min="6" max="6" width="36.81640625" style="14" bestFit="1" customWidth="1"/>
    <col min="7" max="7" width="31.36328125" style="14" bestFit="1" customWidth="1"/>
    <col min="8" max="8" width="27" style="14" bestFit="1" customWidth="1"/>
    <col min="9" max="9" width="26.36328125" style="14" bestFit="1" customWidth="1"/>
    <col min="10" max="10" width="34.1796875" style="14" bestFit="1" customWidth="1"/>
    <col min="11" max="11" width="32.6328125" style="14" customWidth="1"/>
    <col min="12" max="12" width="30.1796875" style="14" bestFit="1" customWidth="1"/>
    <col min="13" max="13" width="28.6328125" style="6" bestFit="1" customWidth="1"/>
    <col min="14" max="14" width="37.81640625" style="6" bestFit="1" customWidth="1"/>
    <col min="15" max="15" width="36.81640625" style="6" bestFit="1" customWidth="1"/>
    <col min="16" max="16" width="35.36328125" style="6" bestFit="1" customWidth="1"/>
    <col min="17" max="17" width="35.81640625" style="6" bestFit="1" customWidth="1"/>
    <col min="18" max="18" width="36.1796875" style="6" bestFit="1" customWidth="1"/>
    <col min="19" max="19" width="35.36328125" style="6" bestFit="1" customWidth="1"/>
    <col min="20" max="20" width="36.36328125" style="6" customWidth="1"/>
    <col min="21" max="21" width="38.453125" style="6" bestFit="1" customWidth="1"/>
    <col min="22" max="22" width="32.36328125" style="6" bestFit="1" customWidth="1"/>
    <col min="23" max="23" width="31" bestFit="1" customWidth="1"/>
  </cols>
  <sheetData>
    <row r="1" spans="1:34" s="94" customFormat="1" ht="15" thickBot="1" x14ac:dyDescent="0.4">
      <c r="A1" s="37" t="s">
        <v>238</v>
      </c>
      <c r="B1" s="91" t="s">
        <v>250</v>
      </c>
      <c r="C1" s="42" t="s">
        <v>313</v>
      </c>
      <c r="D1" s="43" t="s">
        <v>285</v>
      </c>
      <c r="E1" s="43" t="s">
        <v>286</v>
      </c>
      <c r="F1" s="43" t="s">
        <v>287</v>
      </c>
      <c r="G1" s="42" t="s">
        <v>358</v>
      </c>
      <c r="H1" s="43" t="s">
        <v>359</v>
      </c>
      <c r="I1" s="43" t="s">
        <v>360</v>
      </c>
      <c r="J1" s="42" t="s">
        <v>460</v>
      </c>
      <c r="K1" s="43" t="s">
        <v>361</v>
      </c>
      <c r="L1" s="43" t="s">
        <v>362</v>
      </c>
      <c r="M1" s="43" t="s">
        <v>950</v>
      </c>
      <c r="N1" s="43" t="s">
        <v>951</v>
      </c>
      <c r="O1" s="44" t="s">
        <v>952</v>
      </c>
      <c r="P1" s="45" t="s">
        <v>953</v>
      </c>
      <c r="Q1" s="38" t="s">
        <v>954</v>
      </c>
      <c r="R1" s="42" t="s">
        <v>955</v>
      </c>
      <c r="S1" s="43" t="s">
        <v>956</v>
      </c>
      <c r="T1" s="43" t="s">
        <v>957</v>
      </c>
      <c r="U1" s="43" t="s">
        <v>1034</v>
      </c>
      <c r="V1" s="43" t="s">
        <v>958</v>
      </c>
      <c r="W1" s="44" t="s">
        <v>959</v>
      </c>
      <c r="X1" s="92"/>
      <c r="Y1" s="92"/>
      <c r="Z1" s="93"/>
      <c r="AA1" s="93"/>
      <c r="AB1" s="93"/>
      <c r="AC1" s="93"/>
      <c r="AD1" s="93"/>
      <c r="AE1" s="93"/>
      <c r="AF1" s="93"/>
      <c r="AG1" s="93"/>
      <c r="AH1" s="93"/>
    </row>
    <row r="2" spans="1:34" ht="62.5" x14ac:dyDescent="0.35">
      <c r="A2" s="133" t="s">
        <v>321</v>
      </c>
      <c r="B2" s="95" t="s">
        <v>1014</v>
      </c>
      <c r="C2" s="99"/>
      <c r="D2" s="26" t="s">
        <v>318</v>
      </c>
      <c r="E2" s="26" t="s">
        <v>314</v>
      </c>
      <c r="F2" s="26"/>
      <c r="G2" s="26" t="s">
        <v>726</v>
      </c>
      <c r="H2" s="26"/>
      <c r="I2" s="26" t="s">
        <v>369</v>
      </c>
      <c r="J2" s="26"/>
      <c r="K2" s="26"/>
      <c r="L2" s="26"/>
      <c r="M2" s="26" t="s">
        <v>758</v>
      </c>
      <c r="N2" s="26"/>
      <c r="O2" s="26"/>
      <c r="P2" s="26" t="s">
        <v>790</v>
      </c>
      <c r="Q2" s="26" t="s">
        <v>791</v>
      </c>
      <c r="R2" s="26" t="s">
        <v>792</v>
      </c>
      <c r="S2" s="26"/>
      <c r="T2" s="26"/>
      <c r="U2" s="26" t="s">
        <v>1036</v>
      </c>
      <c r="V2" s="26" t="s">
        <v>818</v>
      </c>
      <c r="W2" s="27" t="s">
        <v>819</v>
      </c>
      <c r="X2" s="13"/>
      <c r="Y2" s="13"/>
      <c r="Z2" s="6"/>
      <c r="AA2" s="6"/>
      <c r="AB2" s="6"/>
      <c r="AC2" s="6"/>
      <c r="AD2" s="6"/>
      <c r="AE2" s="6"/>
      <c r="AF2" s="6"/>
      <c r="AG2" s="6"/>
      <c r="AH2" s="6"/>
    </row>
    <row r="3" spans="1:34" ht="62.5" x14ac:dyDescent="0.35">
      <c r="A3" s="134"/>
      <c r="B3" s="96" t="s">
        <v>252</v>
      </c>
      <c r="C3" s="100" t="s">
        <v>724</v>
      </c>
      <c r="D3" s="25" t="s">
        <v>319</v>
      </c>
      <c r="E3" s="25" t="s">
        <v>290</v>
      </c>
      <c r="F3" s="25" t="s">
        <v>722</v>
      </c>
      <c r="G3" s="25" t="s">
        <v>727</v>
      </c>
      <c r="H3" s="25" t="s">
        <v>1061</v>
      </c>
      <c r="I3" s="25" t="s">
        <v>370</v>
      </c>
      <c r="J3" s="25"/>
      <c r="K3" s="25" t="s">
        <v>759</v>
      </c>
      <c r="L3" s="25" t="s">
        <v>760</v>
      </c>
      <c r="M3" s="25" t="s">
        <v>761</v>
      </c>
      <c r="N3" s="25"/>
      <c r="O3" s="25" t="s">
        <v>793</v>
      </c>
      <c r="P3" s="25" t="s">
        <v>794</v>
      </c>
      <c r="Q3" s="25" t="s">
        <v>795</v>
      </c>
      <c r="R3" s="25" t="s">
        <v>796</v>
      </c>
      <c r="S3" s="25" t="s">
        <v>820</v>
      </c>
      <c r="T3" s="25"/>
      <c r="U3" s="25" t="s">
        <v>1037</v>
      </c>
      <c r="V3" s="25" t="s">
        <v>821</v>
      </c>
      <c r="W3" s="28" t="s">
        <v>822</v>
      </c>
      <c r="X3" s="13"/>
      <c r="Y3" s="13"/>
      <c r="Z3" s="6"/>
      <c r="AA3" s="6"/>
      <c r="AB3" s="6"/>
      <c r="AC3" s="6"/>
      <c r="AD3" s="6"/>
      <c r="AE3" s="6"/>
      <c r="AF3" s="6"/>
      <c r="AG3" s="6"/>
      <c r="AH3" s="6"/>
    </row>
    <row r="4" spans="1:34" ht="50" x14ac:dyDescent="0.35">
      <c r="A4" s="134"/>
      <c r="B4" s="96" t="s">
        <v>264</v>
      </c>
      <c r="C4" s="100" t="s">
        <v>1020</v>
      </c>
      <c r="D4" s="25" t="s">
        <v>723</v>
      </c>
      <c r="E4" s="25" t="s">
        <v>291</v>
      </c>
      <c r="F4" s="25" t="s">
        <v>315</v>
      </c>
      <c r="G4" s="25" t="s">
        <v>728</v>
      </c>
      <c r="H4" s="25"/>
      <c r="I4" s="25" t="s">
        <v>1024</v>
      </c>
      <c r="J4" s="25" t="s">
        <v>757</v>
      </c>
      <c r="K4" s="25"/>
      <c r="L4" s="25"/>
      <c r="M4" s="25" t="s">
        <v>762</v>
      </c>
      <c r="N4" s="25" t="s">
        <v>763</v>
      </c>
      <c r="O4" s="25"/>
      <c r="P4" s="25" t="s">
        <v>704</v>
      </c>
      <c r="Q4" s="25" t="s">
        <v>797</v>
      </c>
      <c r="R4" s="25" t="s">
        <v>798</v>
      </c>
      <c r="S4" s="25" t="s">
        <v>823</v>
      </c>
      <c r="T4" s="25"/>
      <c r="U4" s="25" t="s">
        <v>1038</v>
      </c>
      <c r="V4" s="25"/>
      <c r="W4" s="28" t="s">
        <v>824</v>
      </c>
      <c r="X4" s="13"/>
      <c r="Y4" s="13"/>
      <c r="Z4" s="6"/>
      <c r="AA4" s="6"/>
      <c r="AB4" s="6"/>
      <c r="AC4" s="6"/>
      <c r="AD4" s="6"/>
      <c r="AE4" s="6"/>
      <c r="AF4" s="6"/>
      <c r="AG4" s="6"/>
      <c r="AH4" s="6"/>
    </row>
    <row r="5" spans="1:34" ht="62.5" x14ac:dyDescent="0.35">
      <c r="A5" s="134"/>
      <c r="B5" s="96" t="s">
        <v>1015</v>
      </c>
      <c r="C5" s="100" t="s">
        <v>725</v>
      </c>
      <c r="D5" s="25" t="s">
        <v>1021</v>
      </c>
      <c r="E5" s="25" t="s">
        <v>316</v>
      </c>
      <c r="F5" s="25"/>
      <c r="G5" s="25" t="s">
        <v>1009</v>
      </c>
      <c r="H5" s="25" t="s">
        <v>1062</v>
      </c>
      <c r="I5" s="25" t="s">
        <v>730</v>
      </c>
      <c r="J5" s="25"/>
      <c r="K5" s="25" t="s">
        <v>1026</v>
      </c>
      <c r="L5" s="25" t="s">
        <v>1027</v>
      </c>
      <c r="M5" s="25"/>
      <c r="N5" s="25" t="s">
        <v>764</v>
      </c>
      <c r="O5" s="25" t="s">
        <v>799</v>
      </c>
      <c r="P5" s="25" t="s">
        <v>800</v>
      </c>
      <c r="Q5" s="25" t="s">
        <v>801</v>
      </c>
      <c r="R5" s="25" t="s">
        <v>802</v>
      </c>
      <c r="S5" s="25" t="s">
        <v>825</v>
      </c>
      <c r="T5" s="25" t="s">
        <v>826</v>
      </c>
      <c r="U5" s="25" t="s">
        <v>1039</v>
      </c>
      <c r="V5" s="25" t="s">
        <v>827</v>
      </c>
      <c r="W5" s="28" t="s">
        <v>828</v>
      </c>
      <c r="X5" s="13"/>
      <c r="Y5" s="13"/>
      <c r="Z5" s="6"/>
      <c r="AA5" s="6"/>
      <c r="AB5" s="6"/>
      <c r="AC5" s="6"/>
      <c r="AD5" s="6"/>
      <c r="AE5" s="6"/>
      <c r="AF5" s="6"/>
      <c r="AG5" s="6"/>
      <c r="AH5" s="6"/>
    </row>
    <row r="6" spans="1:34" ht="50.5" thickBot="1" x14ac:dyDescent="0.4">
      <c r="A6" s="134"/>
      <c r="B6" s="97" t="s">
        <v>1016</v>
      </c>
      <c r="C6" s="101" t="s">
        <v>317</v>
      </c>
      <c r="D6" s="29" t="s">
        <v>850</v>
      </c>
      <c r="E6" s="29" t="s">
        <v>1022</v>
      </c>
      <c r="F6" s="29"/>
      <c r="G6" s="29" t="s">
        <v>729</v>
      </c>
      <c r="H6" s="29" t="s">
        <v>1023</v>
      </c>
      <c r="I6" s="29"/>
      <c r="J6" s="29"/>
      <c r="K6" s="29" t="s">
        <v>765</v>
      </c>
      <c r="L6" s="29" t="s">
        <v>766</v>
      </c>
      <c r="M6" s="29"/>
      <c r="N6" s="29" t="s">
        <v>767</v>
      </c>
      <c r="O6" s="29"/>
      <c r="P6" s="29"/>
      <c r="Q6" s="29" t="s">
        <v>1028</v>
      </c>
      <c r="R6" s="29" t="s">
        <v>803</v>
      </c>
      <c r="S6" s="29" t="s">
        <v>829</v>
      </c>
      <c r="T6" s="29" t="s">
        <v>830</v>
      </c>
      <c r="U6" s="29" t="s">
        <v>1040</v>
      </c>
      <c r="V6" s="29" t="s">
        <v>831</v>
      </c>
      <c r="W6" s="30" t="s">
        <v>832</v>
      </c>
      <c r="X6" s="13"/>
      <c r="Y6" s="13"/>
      <c r="Z6" s="6"/>
      <c r="AA6" s="6"/>
      <c r="AB6" s="6"/>
      <c r="AC6" s="6"/>
      <c r="AD6" s="6"/>
      <c r="AE6" s="6"/>
      <c r="AF6" s="6"/>
      <c r="AG6" s="6"/>
      <c r="AH6" s="6"/>
    </row>
    <row r="7" spans="1:34" ht="50" x14ac:dyDescent="0.35">
      <c r="A7" s="130" t="s">
        <v>320</v>
      </c>
      <c r="B7" s="95" t="s">
        <v>995</v>
      </c>
      <c r="C7" s="99" t="s">
        <v>731</v>
      </c>
      <c r="D7" s="26" t="s">
        <v>736</v>
      </c>
      <c r="E7" s="26" t="s">
        <v>737</v>
      </c>
      <c r="F7" s="26" t="s">
        <v>738</v>
      </c>
      <c r="G7" s="26"/>
      <c r="H7" s="26" t="s">
        <v>739</v>
      </c>
      <c r="I7" s="26" t="s">
        <v>740</v>
      </c>
      <c r="J7" s="26" t="s">
        <v>768</v>
      </c>
      <c r="K7" s="26" t="s">
        <v>769</v>
      </c>
      <c r="L7" s="26" t="s">
        <v>770</v>
      </c>
      <c r="M7" s="26" t="s">
        <v>771</v>
      </c>
      <c r="N7" s="26" t="s">
        <v>772</v>
      </c>
      <c r="O7" s="26" t="s">
        <v>804</v>
      </c>
      <c r="P7" s="26" t="s">
        <v>805</v>
      </c>
      <c r="Q7" s="26" t="s">
        <v>806</v>
      </c>
      <c r="R7" s="26" t="s">
        <v>807</v>
      </c>
      <c r="S7" s="26" t="s">
        <v>833</v>
      </c>
      <c r="T7" s="26" t="s">
        <v>834</v>
      </c>
      <c r="U7" s="26" t="s">
        <v>1041</v>
      </c>
      <c r="V7" s="26" t="s">
        <v>835</v>
      </c>
      <c r="W7" s="27" t="s">
        <v>836</v>
      </c>
      <c r="Z7" s="6"/>
      <c r="AA7" s="6"/>
      <c r="AB7" s="6"/>
      <c r="AC7" s="6"/>
      <c r="AD7" s="6"/>
      <c r="AE7" s="6"/>
      <c r="AF7" s="6"/>
      <c r="AG7" s="6"/>
      <c r="AH7" s="6"/>
    </row>
    <row r="8" spans="1:34" ht="75" x14ac:dyDescent="0.35">
      <c r="A8" s="131"/>
      <c r="B8" s="96" t="s">
        <v>997</v>
      </c>
      <c r="C8" s="100" t="s">
        <v>732</v>
      </c>
      <c r="D8" s="25" t="s">
        <v>741</v>
      </c>
      <c r="E8" s="25" t="s">
        <v>742</v>
      </c>
      <c r="F8" s="25" t="s">
        <v>743</v>
      </c>
      <c r="G8" s="25"/>
      <c r="H8" s="25" t="s">
        <v>744</v>
      </c>
      <c r="I8" s="25" t="s">
        <v>745</v>
      </c>
      <c r="J8" s="25" t="s">
        <v>773</v>
      </c>
      <c r="K8" s="25" t="s">
        <v>774</v>
      </c>
      <c r="L8" s="25" t="s">
        <v>775</v>
      </c>
      <c r="M8" s="25" t="s">
        <v>776</v>
      </c>
      <c r="N8" s="25" t="s">
        <v>777</v>
      </c>
      <c r="O8" s="25" t="s">
        <v>808</v>
      </c>
      <c r="P8" s="25" t="s">
        <v>809</v>
      </c>
      <c r="Q8" s="25"/>
      <c r="R8" s="25" t="s">
        <v>810</v>
      </c>
      <c r="S8" s="25" t="s">
        <v>837</v>
      </c>
      <c r="T8" s="25" t="s">
        <v>838</v>
      </c>
      <c r="U8" s="25" t="s">
        <v>1042</v>
      </c>
      <c r="V8" s="25" t="s">
        <v>839</v>
      </c>
      <c r="W8" s="28" t="s">
        <v>840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ht="62.5" x14ac:dyDescent="0.35">
      <c r="A9" s="131"/>
      <c r="B9" s="96" t="s">
        <v>1017</v>
      </c>
      <c r="C9" s="100" t="s">
        <v>733</v>
      </c>
      <c r="D9" s="25" t="s">
        <v>746</v>
      </c>
      <c r="E9" s="25" t="s">
        <v>747</v>
      </c>
      <c r="F9" s="25" t="s">
        <v>748</v>
      </c>
      <c r="G9" s="25" t="s">
        <v>749</v>
      </c>
      <c r="H9" s="25" t="s">
        <v>750</v>
      </c>
      <c r="I9" s="25"/>
      <c r="J9" s="25" t="s">
        <v>778</v>
      </c>
      <c r="K9" s="25" t="s">
        <v>779</v>
      </c>
      <c r="L9" s="25"/>
      <c r="M9" s="25" t="s">
        <v>780</v>
      </c>
      <c r="N9" s="25" t="s">
        <v>781</v>
      </c>
      <c r="O9" s="25"/>
      <c r="P9" s="25" t="s">
        <v>811</v>
      </c>
      <c r="Q9" s="25" t="s">
        <v>812</v>
      </c>
      <c r="R9" s="25" t="s">
        <v>994</v>
      </c>
      <c r="S9" s="25" t="s">
        <v>993</v>
      </c>
      <c r="T9" s="25" t="s">
        <v>841</v>
      </c>
      <c r="U9" s="25" t="s">
        <v>1043</v>
      </c>
      <c r="V9" s="25"/>
      <c r="W9" s="28" t="s">
        <v>842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ht="50" x14ac:dyDescent="0.35">
      <c r="A10" s="131"/>
      <c r="B10" s="96" t="s">
        <v>1018</v>
      </c>
      <c r="C10" s="100" t="s">
        <v>734</v>
      </c>
      <c r="D10" s="25" t="s">
        <v>751</v>
      </c>
      <c r="E10" s="25"/>
      <c r="F10" s="25"/>
      <c r="G10" s="25"/>
      <c r="H10" s="25" t="s">
        <v>752</v>
      </c>
      <c r="I10" s="25" t="s">
        <v>1025</v>
      </c>
      <c r="J10" s="25"/>
      <c r="K10" s="25" t="s">
        <v>782</v>
      </c>
      <c r="L10" s="25" t="s">
        <v>783</v>
      </c>
      <c r="M10" s="25" t="s">
        <v>784</v>
      </c>
      <c r="N10" s="25" t="s">
        <v>785</v>
      </c>
      <c r="O10" s="25" t="s">
        <v>813</v>
      </c>
      <c r="P10" s="25" t="s">
        <v>814</v>
      </c>
      <c r="Q10" s="25" t="s">
        <v>815</v>
      </c>
      <c r="R10" s="25" t="s">
        <v>996</v>
      </c>
      <c r="S10" s="25" t="s">
        <v>843</v>
      </c>
      <c r="T10" s="25" t="s">
        <v>844</v>
      </c>
      <c r="U10" s="25" t="s">
        <v>1044</v>
      </c>
      <c r="V10" s="25" t="s">
        <v>845</v>
      </c>
      <c r="W10" s="28" t="s">
        <v>846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ht="63" thickBot="1" x14ac:dyDescent="0.4">
      <c r="A11" s="132"/>
      <c r="B11" s="98" t="s">
        <v>1019</v>
      </c>
      <c r="C11" s="101" t="s">
        <v>735</v>
      </c>
      <c r="D11" s="29" t="s">
        <v>753</v>
      </c>
      <c r="E11" s="29" t="s">
        <v>754</v>
      </c>
      <c r="F11" s="29" t="s">
        <v>755</v>
      </c>
      <c r="G11" s="29" t="s">
        <v>1013</v>
      </c>
      <c r="H11" s="29" t="s">
        <v>756</v>
      </c>
      <c r="I11" s="29"/>
      <c r="J11" s="29" t="s">
        <v>786</v>
      </c>
      <c r="K11" s="29" t="s">
        <v>787</v>
      </c>
      <c r="L11" s="29" t="s">
        <v>788</v>
      </c>
      <c r="M11" s="29" t="s">
        <v>789</v>
      </c>
      <c r="N11" s="29"/>
      <c r="O11" s="29"/>
      <c r="P11" s="29" t="s">
        <v>816</v>
      </c>
      <c r="Q11" s="29" t="s">
        <v>817</v>
      </c>
      <c r="R11" s="29"/>
      <c r="S11" s="29"/>
      <c r="T11" s="29" t="s">
        <v>847</v>
      </c>
      <c r="U11" s="29"/>
      <c r="V11" s="29" t="s">
        <v>848</v>
      </c>
      <c r="W11" s="30" t="s">
        <v>849</v>
      </c>
    </row>
    <row r="15" spans="1:34" x14ac:dyDescent="0.35">
      <c r="J15" s="6"/>
      <c r="K15" s="6"/>
      <c r="L15" s="6"/>
      <c r="S15"/>
      <c r="T15"/>
      <c r="U15"/>
      <c r="V15"/>
    </row>
    <row r="16" spans="1:34" x14ac:dyDescent="0.35">
      <c r="L16" s="6"/>
      <c r="U16"/>
      <c r="V16"/>
    </row>
    <row r="17" spans="9:22" x14ac:dyDescent="0.35">
      <c r="J17" s="6"/>
      <c r="K17" s="6"/>
      <c r="L17" s="6"/>
      <c r="Q17"/>
      <c r="R17"/>
      <c r="S17"/>
      <c r="T17"/>
      <c r="U17"/>
      <c r="V17"/>
    </row>
    <row r="18" spans="9:22" ht="23.5" customHeight="1" x14ac:dyDescent="0.35">
      <c r="I18" s="6"/>
      <c r="J18" s="6"/>
      <c r="K18" s="6"/>
      <c r="L18" s="6"/>
      <c r="O18" s="14"/>
      <c r="P18" s="14"/>
      <c r="Q18"/>
      <c r="R18"/>
      <c r="S18"/>
      <c r="T18"/>
      <c r="U18"/>
      <c r="V18"/>
    </row>
    <row r="19" spans="9:22" x14ac:dyDescent="0.35">
      <c r="I19" s="6"/>
      <c r="J19" s="6"/>
      <c r="K19" s="6"/>
      <c r="L19" s="6"/>
      <c r="O19" s="14"/>
      <c r="P19" s="14"/>
      <c r="Q19"/>
      <c r="R19"/>
      <c r="S19"/>
      <c r="T19"/>
      <c r="U19"/>
      <c r="V19"/>
    </row>
    <row r="20" spans="9:22" x14ac:dyDescent="0.35">
      <c r="I20" s="6"/>
      <c r="J20" s="6"/>
      <c r="K20" s="6"/>
      <c r="L20" s="6"/>
      <c r="O20" s="14"/>
      <c r="P20" s="14"/>
      <c r="Q20"/>
      <c r="R20"/>
      <c r="S20"/>
      <c r="T20"/>
      <c r="U20"/>
      <c r="V20"/>
    </row>
    <row r="21" spans="9:22" x14ac:dyDescent="0.35">
      <c r="I21" s="6"/>
      <c r="J21" s="6"/>
      <c r="K21" s="6"/>
      <c r="L21" s="6"/>
      <c r="O21" s="14"/>
      <c r="P21" s="14"/>
      <c r="Q21"/>
      <c r="R21"/>
      <c r="S21"/>
      <c r="T21"/>
      <c r="U21"/>
      <c r="V21"/>
    </row>
    <row r="22" spans="9:22" x14ac:dyDescent="0.35">
      <c r="I22" s="6"/>
      <c r="J22" s="6"/>
      <c r="K22" s="6"/>
      <c r="L22" s="6"/>
      <c r="O22" s="14"/>
      <c r="P22" s="14"/>
      <c r="Q22"/>
      <c r="R22"/>
      <c r="S22"/>
      <c r="T22"/>
      <c r="U22"/>
      <c r="V22"/>
    </row>
    <row r="23" spans="9:22" x14ac:dyDescent="0.35">
      <c r="I23" s="6"/>
      <c r="J23" s="6"/>
      <c r="K23" s="6"/>
      <c r="L23" s="6"/>
      <c r="O23" s="14"/>
      <c r="P23" s="14"/>
      <c r="Q23"/>
      <c r="R23"/>
      <c r="S23"/>
      <c r="T23"/>
      <c r="U23"/>
      <c r="V23"/>
    </row>
    <row r="24" spans="9:22" x14ac:dyDescent="0.35">
      <c r="I24" s="6"/>
      <c r="J24" s="6"/>
      <c r="K24" s="6"/>
      <c r="L24" s="6"/>
      <c r="O24" s="14"/>
      <c r="P24" s="14"/>
      <c r="Q24"/>
      <c r="R24"/>
      <c r="S24"/>
      <c r="T24"/>
      <c r="U24"/>
      <c r="V24"/>
    </row>
    <row r="25" spans="9:22" x14ac:dyDescent="0.35">
      <c r="I25" s="6"/>
      <c r="J25" s="6"/>
      <c r="K25" s="6"/>
      <c r="L25" s="6"/>
      <c r="O25" s="14"/>
      <c r="P25" s="14"/>
      <c r="Q25"/>
      <c r="R25"/>
      <c r="S25"/>
      <c r="T25"/>
      <c r="U25"/>
      <c r="V25"/>
    </row>
    <row r="26" spans="9:22" x14ac:dyDescent="0.35">
      <c r="K26" s="6"/>
      <c r="L26" s="6"/>
      <c r="Q26" s="14"/>
      <c r="R26" s="14"/>
      <c r="S26"/>
      <c r="T26"/>
      <c r="U26"/>
      <c r="V26"/>
    </row>
    <row r="27" spans="9:22" x14ac:dyDescent="0.35">
      <c r="K27" s="6"/>
      <c r="L27" s="6"/>
      <c r="Q27" s="14"/>
      <c r="R27" s="14"/>
      <c r="S27"/>
      <c r="T27"/>
      <c r="U27"/>
      <c r="V27"/>
    </row>
    <row r="28" spans="9:22" x14ac:dyDescent="0.35">
      <c r="S28" s="14"/>
      <c r="T28" s="14"/>
      <c r="U28" s="14"/>
      <c r="V28" s="14"/>
    </row>
  </sheetData>
  <mergeCells count="2">
    <mergeCell ref="A7:A11"/>
    <mergeCell ref="A2:A6"/>
  </mergeCells>
  <phoneticPr fontId="1" type="noConversion"/>
  <pageMargins left="0.7" right="0.7" top="0.78740157499999996" bottom="0.78740157499999996" header="0.3" footer="0.3"/>
  <pageSetup paperSize="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2693-0DFB-4427-A351-D17406B75974}">
  <dimension ref="A1:X28"/>
  <sheetViews>
    <sheetView zoomScaleNormal="100" workbookViewId="0">
      <selection activeCell="M9" sqref="M9"/>
    </sheetView>
  </sheetViews>
  <sheetFormatPr baseColWidth="10" defaultRowHeight="14.5" x14ac:dyDescent="0.35"/>
  <cols>
    <col min="1" max="1" width="39.36328125" bestFit="1" customWidth="1"/>
    <col min="2" max="2" width="32.6328125" bestFit="1" customWidth="1"/>
    <col min="3" max="3" width="39.6328125" bestFit="1" customWidth="1"/>
    <col min="4" max="4" width="32.1796875" bestFit="1" customWidth="1"/>
    <col min="5" max="5" width="39.36328125" bestFit="1" customWidth="1"/>
    <col min="6" max="6" width="41.6328125" bestFit="1" customWidth="1"/>
    <col min="7" max="7" width="29.36328125" bestFit="1" customWidth="1"/>
    <col min="8" max="8" width="36" bestFit="1" customWidth="1"/>
    <col min="9" max="9" width="21.6328125" bestFit="1" customWidth="1"/>
    <col min="10" max="10" width="30.36328125" customWidth="1"/>
    <col min="11" max="11" width="34.1796875" bestFit="1" customWidth="1"/>
    <col min="12" max="12" width="38.36328125" bestFit="1" customWidth="1"/>
    <col min="13" max="13" width="28.6328125" bestFit="1" customWidth="1"/>
    <col min="14" max="14" width="23.453125" bestFit="1" customWidth="1"/>
    <col min="15" max="15" width="23.36328125" bestFit="1" customWidth="1"/>
    <col min="16" max="16" width="47.81640625" bestFit="1" customWidth="1"/>
    <col min="17" max="17" width="27.81640625" customWidth="1"/>
    <col min="18" max="18" width="24.36328125" bestFit="1" customWidth="1"/>
    <col min="19" max="19" width="21" customWidth="1"/>
    <col min="20" max="20" width="25.1796875" bestFit="1" customWidth="1"/>
    <col min="21" max="22" width="25.1796875" customWidth="1"/>
    <col min="23" max="23" width="19.81640625" bestFit="1" customWidth="1"/>
    <col min="24" max="24" width="21.81640625" customWidth="1"/>
  </cols>
  <sheetData>
    <row r="1" spans="1:24" ht="15" thickBot="1" x14ac:dyDescent="0.4">
      <c r="A1" s="39" t="s">
        <v>238</v>
      </c>
      <c r="B1" s="40" t="s">
        <v>250</v>
      </c>
      <c r="C1" s="40" t="s">
        <v>313</v>
      </c>
      <c r="D1" s="40" t="s">
        <v>285</v>
      </c>
      <c r="E1" s="40" t="s">
        <v>286</v>
      </c>
      <c r="F1" s="40" t="s">
        <v>287</v>
      </c>
      <c r="G1" s="40" t="s">
        <v>358</v>
      </c>
      <c r="H1" s="40" t="s">
        <v>359</v>
      </c>
      <c r="I1" s="40" t="s">
        <v>360</v>
      </c>
      <c r="J1" s="40" t="s">
        <v>460</v>
      </c>
      <c r="K1" s="40" t="s">
        <v>361</v>
      </c>
      <c r="L1" s="40" t="s">
        <v>362</v>
      </c>
      <c r="M1" s="40" t="s">
        <v>363</v>
      </c>
      <c r="N1" s="40" t="s">
        <v>288</v>
      </c>
      <c r="O1" s="40" t="s">
        <v>364</v>
      </c>
      <c r="P1" s="40" t="s">
        <v>365</v>
      </c>
      <c r="Q1" s="40" t="s">
        <v>366</v>
      </c>
      <c r="R1" s="40" t="s">
        <v>367</v>
      </c>
      <c r="S1" s="40" t="s">
        <v>368</v>
      </c>
      <c r="T1" s="40" t="s">
        <v>289</v>
      </c>
      <c r="U1" s="40" t="s">
        <v>657</v>
      </c>
      <c r="V1" s="40" t="s">
        <v>658</v>
      </c>
      <c r="W1" s="40" t="s">
        <v>650</v>
      </c>
      <c r="X1" s="41" t="s">
        <v>651</v>
      </c>
    </row>
    <row r="2" spans="1:24" ht="25" x14ac:dyDescent="0.35">
      <c r="A2" s="133" t="s">
        <v>255</v>
      </c>
      <c r="B2" s="31" t="s">
        <v>256</v>
      </c>
      <c r="C2" s="32" t="s">
        <v>292</v>
      </c>
      <c r="D2" s="26" t="s">
        <v>292</v>
      </c>
      <c r="E2" s="26" t="s">
        <v>293</v>
      </c>
      <c r="F2" s="26" t="s">
        <v>322</v>
      </c>
      <c r="G2" s="26" t="s">
        <v>258</v>
      </c>
      <c r="H2" s="26" t="s">
        <v>371</v>
      </c>
      <c r="I2" s="26" t="s">
        <v>372</v>
      </c>
      <c r="J2" s="26" t="s">
        <v>461</v>
      </c>
      <c r="K2" s="26" t="s">
        <v>292</v>
      </c>
      <c r="L2" s="26" t="s">
        <v>373</v>
      </c>
      <c r="M2" s="26" t="s">
        <v>258</v>
      </c>
      <c r="N2" s="26" t="s">
        <v>258</v>
      </c>
      <c r="O2" s="26" t="s">
        <v>258</v>
      </c>
      <c r="P2" s="26" t="s">
        <v>258</v>
      </c>
      <c r="Q2" s="26" t="s">
        <v>374</v>
      </c>
      <c r="R2" s="26" t="s">
        <v>258</v>
      </c>
      <c r="S2" s="26" t="s">
        <v>258</v>
      </c>
      <c r="T2" s="26" t="s">
        <v>258</v>
      </c>
      <c r="U2" s="26" t="s">
        <v>258</v>
      </c>
      <c r="V2" s="26" t="s">
        <v>659</v>
      </c>
      <c r="W2" s="26" t="s">
        <v>292</v>
      </c>
      <c r="X2" s="27" t="s">
        <v>258</v>
      </c>
    </row>
    <row r="3" spans="1:24" ht="37.5" x14ac:dyDescent="0.35">
      <c r="A3" s="134"/>
      <c r="B3" s="33" t="s">
        <v>323</v>
      </c>
      <c r="C3" s="34" t="s">
        <v>344</v>
      </c>
      <c r="D3" s="25" t="s">
        <v>324</v>
      </c>
      <c r="E3" s="25" t="s">
        <v>294</v>
      </c>
      <c r="F3" s="25" t="s">
        <v>345</v>
      </c>
      <c r="G3" s="25" t="s">
        <v>375</v>
      </c>
      <c r="H3" s="25" t="s">
        <v>425</v>
      </c>
      <c r="I3" s="25" t="s">
        <v>426</v>
      </c>
      <c r="J3" s="25" t="s">
        <v>258</v>
      </c>
      <c r="K3" s="25" t="s">
        <v>427</v>
      </c>
      <c r="L3" s="25" t="s">
        <v>376</v>
      </c>
      <c r="M3" s="25" t="s">
        <v>258</v>
      </c>
      <c r="N3" s="25" t="s">
        <v>258</v>
      </c>
      <c r="O3" s="25" t="s">
        <v>428</v>
      </c>
      <c r="P3" s="25" t="s">
        <v>258</v>
      </c>
      <c r="Q3" s="25" t="s">
        <v>258</v>
      </c>
      <c r="R3" s="25" t="s">
        <v>401</v>
      </c>
      <c r="S3" s="25" t="s">
        <v>429</v>
      </c>
      <c r="T3" s="25" t="s">
        <v>258</v>
      </c>
      <c r="U3" s="25" t="s">
        <v>660</v>
      </c>
      <c r="V3" s="25" t="s">
        <v>665</v>
      </c>
      <c r="W3" s="25" t="s">
        <v>295</v>
      </c>
      <c r="X3" s="28" t="s">
        <v>311</v>
      </c>
    </row>
    <row r="4" spans="1:24" ht="62.5" x14ac:dyDescent="0.35">
      <c r="A4" s="134"/>
      <c r="B4" s="33" t="s">
        <v>257</v>
      </c>
      <c r="C4" s="34" t="s">
        <v>306</v>
      </c>
      <c r="D4" s="25" t="s">
        <v>307</v>
      </c>
      <c r="E4" s="25" t="s">
        <v>258</v>
      </c>
      <c r="F4" s="25" t="s">
        <v>308</v>
      </c>
      <c r="G4" s="25" t="s">
        <v>377</v>
      </c>
      <c r="H4" s="25" t="s">
        <v>430</v>
      </c>
      <c r="I4" s="25" t="s">
        <v>378</v>
      </c>
      <c r="J4" s="25" t="s">
        <v>464</v>
      </c>
      <c r="K4" s="25" t="s">
        <v>431</v>
      </c>
      <c r="L4" s="25" t="s">
        <v>379</v>
      </c>
      <c r="M4" s="25" t="s">
        <v>402</v>
      </c>
      <c r="N4" s="25" t="s">
        <v>296</v>
      </c>
      <c r="O4" s="25" t="s">
        <v>258</v>
      </c>
      <c r="P4" s="25" t="s">
        <v>380</v>
      </c>
      <c r="Q4" s="25" t="s">
        <v>381</v>
      </c>
      <c r="R4" s="25" t="s">
        <v>403</v>
      </c>
      <c r="S4" s="25" t="s">
        <v>382</v>
      </c>
      <c r="T4" s="25" t="s">
        <v>258</v>
      </c>
      <c r="U4" s="25" t="s">
        <v>661</v>
      </c>
      <c r="V4" s="25" t="s">
        <v>662</v>
      </c>
      <c r="W4" s="25" t="s">
        <v>258</v>
      </c>
      <c r="X4" s="28" t="s">
        <v>325</v>
      </c>
    </row>
    <row r="5" spans="1:24" ht="25.5" thickBot="1" x14ac:dyDescent="0.4">
      <c r="A5" s="135"/>
      <c r="B5" s="35" t="s">
        <v>326</v>
      </c>
      <c r="C5" s="36" t="s">
        <v>258</v>
      </c>
      <c r="D5" s="29" t="s">
        <v>258</v>
      </c>
      <c r="E5" s="29" t="s">
        <v>258</v>
      </c>
      <c r="F5" s="29" t="s">
        <v>346</v>
      </c>
      <c r="G5" s="29" t="s">
        <v>383</v>
      </c>
      <c r="H5" s="29" t="s">
        <v>384</v>
      </c>
      <c r="I5" s="29" t="s">
        <v>258</v>
      </c>
      <c r="J5" s="29" t="s">
        <v>258</v>
      </c>
      <c r="K5" s="29" t="s">
        <v>385</v>
      </c>
      <c r="L5" s="29" t="s">
        <v>432</v>
      </c>
      <c r="M5" s="29" t="s">
        <v>258</v>
      </c>
      <c r="N5" s="29" t="s">
        <v>258</v>
      </c>
      <c r="O5" s="29" t="s">
        <v>258</v>
      </c>
      <c r="P5" s="29" t="s">
        <v>258</v>
      </c>
      <c r="Q5" s="29" t="s">
        <v>258</v>
      </c>
      <c r="R5" s="29" t="s">
        <v>258</v>
      </c>
      <c r="S5" s="29" t="s">
        <v>258</v>
      </c>
      <c r="T5" s="29" t="s">
        <v>258</v>
      </c>
      <c r="U5" s="29" t="s">
        <v>668</v>
      </c>
      <c r="V5" s="29" t="s">
        <v>666</v>
      </c>
      <c r="W5" s="29" t="s">
        <v>258</v>
      </c>
      <c r="X5" s="30" t="s">
        <v>258</v>
      </c>
    </row>
    <row r="6" spans="1:24" ht="37.5" x14ac:dyDescent="0.35">
      <c r="A6" s="75" t="s">
        <v>357</v>
      </c>
      <c r="B6" s="31" t="s">
        <v>327</v>
      </c>
      <c r="C6" s="32" t="s">
        <v>297</v>
      </c>
      <c r="D6" s="26" t="s">
        <v>298</v>
      </c>
      <c r="E6" s="26" t="s">
        <v>328</v>
      </c>
      <c r="F6" s="26" t="s">
        <v>329</v>
      </c>
      <c r="G6" s="26" t="s">
        <v>386</v>
      </c>
      <c r="H6" s="26" t="s">
        <v>387</v>
      </c>
      <c r="I6" s="26" t="s">
        <v>388</v>
      </c>
      <c r="J6" s="26" t="s">
        <v>462</v>
      </c>
      <c r="K6" s="26" t="s">
        <v>433</v>
      </c>
      <c r="L6" s="26" t="s">
        <v>434</v>
      </c>
      <c r="M6" s="26" t="s">
        <v>389</v>
      </c>
      <c r="N6" s="26" t="s">
        <v>258</v>
      </c>
      <c r="O6" s="26" t="s">
        <v>390</v>
      </c>
      <c r="P6" s="26" t="s">
        <v>404</v>
      </c>
      <c r="Q6" s="26" t="s">
        <v>391</v>
      </c>
      <c r="R6" s="26" t="s">
        <v>435</v>
      </c>
      <c r="S6" s="26" t="s">
        <v>258</v>
      </c>
      <c r="T6" s="26" t="s">
        <v>330</v>
      </c>
      <c r="U6" s="26" t="s">
        <v>669</v>
      </c>
      <c r="V6" s="26" t="s">
        <v>258</v>
      </c>
      <c r="W6" s="26" t="s">
        <v>331</v>
      </c>
      <c r="X6" s="27" t="s">
        <v>258</v>
      </c>
    </row>
    <row r="7" spans="1:24" ht="37.5" x14ac:dyDescent="0.35">
      <c r="A7" s="76"/>
      <c r="B7" s="33" t="s">
        <v>332</v>
      </c>
      <c r="C7" s="34" t="s">
        <v>258</v>
      </c>
      <c r="D7" s="25" t="s">
        <v>258</v>
      </c>
      <c r="E7" s="25" t="s">
        <v>258</v>
      </c>
      <c r="F7" s="25" t="s">
        <v>347</v>
      </c>
      <c r="G7" s="25" t="s">
        <v>405</v>
      </c>
      <c r="H7" s="25" t="s">
        <v>258</v>
      </c>
      <c r="I7" s="25" t="s">
        <v>258</v>
      </c>
      <c r="J7" s="25" t="s">
        <v>258</v>
      </c>
      <c r="K7" s="25" t="s">
        <v>406</v>
      </c>
      <c r="L7" s="25" t="s">
        <v>436</v>
      </c>
      <c r="M7" s="25" t="s">
        <v>407</v>
      </c>
      <c r="N7" s="25" t="s">
        <v>258</v>
      </c>
      <c r="O7" s="25" t="s">
        <v>408</v>
      </c>
      <c r="P7" s="25" t="s">
        <v>258</v>
      </c>
      <c r="Q7" s="25" t="s">
        <v>258</v>
      </c>
      <c r="R7" s="25" t="s">
        <v>258</v>
      </c>
      <c r="S7" s="25" t="s">
        <v>258</v>
      </c>
      <c r="T7" s="25" t="s">
        <v>258</v>
      </c>
      <c r="U7" s="25" t="s">
        <v>258</v>
      </c>
      <c r="V7" s="25" t="s">
        <v>258</v>
      </c>
      <c r="W7" s="25" t="s">
        <v>258</v>
      </c>
      <c r="X7" s="28" t="s">
        <v>258</v>
      </c>
    </row>
    <row r="8" spans="1:24" ht="37.5" x14ac:dyDescent="0.35">
      <c r="A8" s="76"/>
      <c r="B8" s="33" t="s">
        <v>333</v>
      </c>
      <c r="C8" s="34" t="s">
        <v>348</v>
      </c>
      <c r="D8" s="25" t="s">
        <v>334</v>
      </c>
      <c r="E8" s="25" t="s">
        <v>349</v>
      </c>
      <c r="F8" s="25" t="s">
        <v>335</v>
      </c>
      <c r="G8" s="25" t="s">
        <v>392</v>
      </c>
      <c r="H8" s="25" t="s">
        <v>437</v>
      </c>
      <c r="I8" s="25" t="s">
        <v>409</v>
      </c>
      <c r="J8" s="25" t="s">
        <v>465</v>
      </c>
      <c r="K8" s="25" t="s">
        <v>258</v>
      </c>
      <c r="L8" s="25" t="s">
        <v>258</v>
      </c>
      <c r="M8" s="25" t="s">
        <v>410</v>
      </c>
      <c r="N8" s="25" t="s">
        <v>258</v>
      </c>
      <c r="O8" s="25" t="s">
        <v>258</v>
      </c>
      <c r="P8" s="25" t="s">
        <v>411</v>
      </c>
      <c r="Q8" s="25" t="s">
        <v>438</v>
      </c>
      <c r="R8" s="25" t="s">
        <v>412</v>
      </c>
      <c r="S8" s="25" t="s">
        <v>413</v>
      </c>
      <c r="T8" s="25" t="s">
        <v>305</v>
      </c>
      <c r="U8" s="25" t="s">
        <v>667</v>
      </c>
      <c r="V8" s="25" t="s">
        <v>663</v>
      </c>
      <c r="W8" s="25" t="s">
        <v>258</v>
      </c>
      <c r="X8" s="28" t="s">
        <v>309</v>
      </c>
    </row>
    <row r="9" spans="1:24" ht="37.5" x14ac:dyDescent="0.35">
      <c r="A9" s="76"/>
      <c r="B9" s="33" t="s">
        <v>259</v>
      </c>
      <c r="C9" s="34" t="s">
        <v>299</v>
      </c>
      <c r="D9" s="25" t="s">
        <v>300</v>
      </c>
      <c r="E9" s="25" t="s">
        <v>301</v>
      </c>
      <c r="F9" s="25" t="s">
        <v>302</v>
      </c>
      <c r="G9" s="25" t="s">
        <v>258</v>
      </c>
      <c r="H9" s="25" t="s">
        <v>393</v>
      </c>
      <c r="I9" s="25" t="s">
        <v>394</v>
      </c>
      <c r="J9" s="25" t="s">
        <v>463</v>
      </c>
      <c r="K9" s="25" t="s">
        <v>439</v>
      </c>
      <c r="L9" s="25" t="s">
        <v>414</v>
      </c>
      <c r="M9" s="25" t="s">
        <v>440</v>
      </c>
      <c r="N9" s="25" t="s">
        <v>258</v>
      </c>
      <c r="O9" s="25" t="s">
        <v>441</v>
      </c>
      <c r="P9" s="25" t="s">
        <v>415</v>
      </c>
      <c r="Q9" s="25" t="s">
        <v>442</v>
      </c>
      <c r="R9" s="25" t="s">
        <v>258</v>
      </c>
      <c r="S9" s="25" t="s">
        <v>395</v>
      </c>
      <c r="T9" s="25" t="s">
        <v>336</v>
      </c>
      <c r="U9" s="25" t="s">
        <v>258</v>
      </c>
      <c r="V9" s="25" t="s">
        <v>258</v>
      </c>
      <c r="W9" s="25" t="s">
        <v>303</v>
      </c>
      <c r="X9" s="28" t="s">
        <v>258</v>
      </c>
    </row>
    <row r="10" spans="1:24" ht="50" x14ac:dyDescent="0.35">
      <c r="A10" s="76"/>
      <c r="B10" s="33" t="s">
        <v>337</v>
      </c>
      <c r="C10" s="34" t="s">
        <v>258</v>
      </c>
      <c r="D10" s="25" t="s">
        <v>304</v>
      </c>
      <c r="E10" s="25" t="s">
        <v>350</v>
      </c>
      <c r="F10" s="25" t="s">
        <v>258</v>
      </c>
      <c r="G10" s="25" t="s">
        <v>258</v>
      </c>
      <c r="H10" s="25" t="s">
        <v>258</v>
      </c>
      <c r="I10" s="25" t="s">
        <v>258</v>
      </c>
      <c r="J10" s="25" t="s">
        <v>258</v>
      </c>
      <c r="K10" s="25" t="s">
        <v>258</v>
      </c>
      <c r="L10" s="25" t="s">
        <v>258</v>
      </c>
      <c r="M10" s="25" t="s">
        <v>443</v>
      </c>
      <c r="N10" s="25" t="s">
        <v>351</v>
      </c>
      <c r="O10" s="25" t="s">
        <v>416</v>
      </c>
      <c r="P10" s="25" t="s">
        <v>396</v>
      </c>
      <c r="Q10" s="25" t="s">
        <v>444</v>
      </c>
      <c r="R10" s="25" t="s">
        <v>258</v>
      </c>
      <c r="S10" s="25" t="s">
        <v>417</v>
      </c>
      <c r="T10" s="25" t="s">
        <v>338</v>
      </c>
      <c r="U10" s="25" t="s">
        <v>258</v>
      </c>
      <c r="V10" s="25" t="s">
        <v>258</v>
      </c>
      <c r="W10" s="25" t="s">
        <v>258</v>
      </c>
      <c r="X10" s="28" t="s">
        <v>258</v>
      </c>
    </row>
    <row r="11" spans="1:24" ht="75" x14ac:dyDescent="0.35">
      <c r="A11" s="76"/>
      <c r="B11" s="33" t="s">
        <v>339</v>
      </c>
      <c r="C11" s="34" t="s">
        <v>352</v>
      </c>
      <c r="D11" s="25" t="s">
        <v>258</v>
      </c>
      <c r="E11" s="25" t="s">
        <v>353</v>
      </c>
      <c r="F11" s="25" t="s">
        <v>340</v>
      </c>
      <c r="G11" s="25" t="s">
        <v>258</v>
      </c>
      <c r="H11" s="25" t="s">
        <v>258</v>
      </c>
      <c r="I11" s="25" t="s">
        <v>258</v>
      </c>
      <c r="J11" s="25" t="s">
        <v>466</v>
      </c>
      <c r="K11" s="25" t="s">
        <v>258</v>
      </c>
      <c r="L11" s="25" t="s">
        <v>258</v>
      </c>
      <c r="M11" s="25" t="s">
        <v>418</v>
      </c>
      <c r="N11" s="25" t="s">
        <v>258</v>
      </c>
      <c r="O11" s="25" t="s">
        <v>419</v>
      </c>
      <c r="P11" s="25" t="s">
        <v>258</v>
      </c>
      <c r="Q11" s="25" t="s">
        <v>445</v>
      </c>
      <c r="R11" s="25" t="s">
        <v>258</v>
      </c>
      <c r="S11" s="25" t="s">
        <v>397</v>
      </c>
      <c r="T11" s="25" t="s">
        <v>258</v>
      </c>
      <c r="U11" s="25" t="s">
        <v>258</v>
      </c>
      <c r="V11" s="25" t="s">
        <v>664</v>
      </c>
      <c r="W11" s="25" t="s">
        <v>341</v>
      </c>
      <c r="X11" s="28" t="s">
        <v>258</v>
      </c>
    </row>
    <row r="12" spans="1:24" ht="25.5" thickBot="1" x14ac:dyDescent="0.4">
      <c r="A12" s="77"/>
      <c r="B12" s="35" t="s">
        <v>260</v>
      </c>
      <c r="C12" s="36" t="s">
        <v>354</v>
      </c>
      <c r="D12" s="29" t="s">
        <v>310</v>
      </c>
      <c r="E12" s="29" t="s">
        <v>258</v>
      </c>
      <c r="F12" s="29" t="s">
        <v>355</v>
      </c>
      <c r="G12" s="29" t="s">
        <v>398</v>
      </c>
      <c r="H12" s="29" t="s">
        <v>420</v>
      </c>
      <c r="I12" s="29" t="s">
        <v>258</v>
      </c>
      <c r="J12" s="29" t="s">
        <v>258</v>
      </c>
      <c r="K12" s="29" t="s">
        <v>399</v>
      </c>
      <c r="L12" s="29" t="s">
        <v>421</v>
      </c>
      <c r="M12" s="29" t="s">
        <v>446</v>
      </c>
      <c r="N12" s="29" t="s">
        <v>258</v>
      </c>
      <c r="O12" s="29" t="s">
        <v>258</v>
      </c>
      <c r="P12" s="29" t="s">
        <v>422</v>
      </c>
      <c r="Q12" s="29" t="s">
        <v>400</v>
      </c>
      <c r="R12" s="29" t="s">
        <v>423</v>
      </c>
      <c r="S12" s="29" t="s">
        <v>424</v>
      </c>
      <c r="T12" s="29" t="s">
        <v>356</v>
      </c>
      <c r="U12" s="29" t="s">
        <v>258</v>
      </c>
      <c r="V12" s="29" t="s">
        <v>258</v>
      </c>
      <c r="W12" s="29" t="s">
        <v>342</v>
      </c>
      <c r="X12" s="30" t="s">
        <v>343</v>
      </c>
    </row>
    <row r="19" ht="14.5" customHeight="1" x14ac:dyDescent="0.35"/>
    <row r="20" ht="50" customHeight="1" x14ac:dyDescent="0.35"/>
    <row r="22" ht="56" customHeight="1" x14ac:dyDescent="0.35"/>
    <row r="23" ht="34" customHeight="1" x14ac:dyDescent="0.35"/>
    <row r="24" ht="50" customHeight="1" x14ac:dyDescent="0.35"/>
    <row r="25" ht="50" customHeight="1" x14ac:dyDescent="0.35"/>
    <row r="26" ht="87.5" customHeight="1" x14ac:dyDescent="0.35"/>
    <row r="27" ht="75" customHeight="1" x14ac:dyDescent="0.35"/>
    <row r="28" ht="50.5" customHeight="1" x14ac:dyDescent="0.35"/>
  </sheetData>
  <mergeCells count="1">
    <mergeCell ref="A2:A5"/>
  </mergeCells>
  <phoneticPr fontId="1" type="noConversion"/>
  <pageMargins left="0.7" right="0.7" top="0.78740157499999996" bottom="0.78740157499999996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DA27-D2D0-4564-B71F-CD6FB3721653}">
  <dimension ref="A1:W27"/>
  <sheetViews>
    <sheetView zoomScale="85" zoomScaleNormal="100" workbookViewId="0">
      <pane xSplit="2" topLeftCell="P1" activePane="topRight" state="frozen"/>
      <selection pane="topRight" activeCell="A9" sqref="A9:W12"/>
    </sheetView>
  </sheetViews>
  <sheetFormatPr baseColWidth="10" defaultRowHeight="14.5" x14ac:dyDescent="0.35"/>
  <cols>
    <col min="1" max="1" width="39.36328125" bestFit="1" customWidth="1"/>
    <col min="2" max="2" width="32.6328125" bestFit="1" customWidth="1"/>
    <col min="3" max="3" width="34" bestFit="1" customWidth="1"/>
    <col min="4" max="4" width="30.81640625" customWidth="1"/>
    <col min="5" max="5" width="39" bestFit="1" customWidth="1"/>
    <col min="6" max="6" width="41.6328125" bestFit="1" customWidth="1"/>
    <col min="7" max="7" width="28.81640625" bestFit="1" customWidth="1"/>
    <col min="8" max="8" width="35.81640625" bestFit="1" customWidth="1"/>
    <col min="9" max="9" width="32.6328125" bestFit="1" customWidth="1"/>
    <col min="10" max="10" width="30.1796875" bestFit="1" customWidth="1"/>
    <col min="11" max="11" width="34.1796875" bestFit="1" customWidth="1"/>
    <col min="12" max="12" width="38.36328125" bestFit="1" customWidth="1"/>
    <col min="13" max="13" width="22.453125" customWidth="1"/>
    <col min="14" max="14" width="23" bestFit="1" customWidth="1"/>
    <col min="15" max="15" width="47.6328125" bestFit="1" customWidth="1"/>
    <col min="16" max="16" width="21.6328125" bestFit="1" customWidth="1"/>
    <col min="17" max="17" width="21.81640625" bestFit="1" customWidth="1"/>
    <col min="18" max="18" width="21" customWidth="1"/>
    <col min="19" max="19" width="23.453125" bestFit="1" customWidth="1"/>
    <col min="20" max="20" width="24.81640625" bestFit="1" customWidth="1"/>
    <col min="21" max="21" width="23.81640625" bestFit="1" customWidth="1"/>
    <col min="22" max="22" width="19.453125" bestFit="1" customWidth="1"/>
    <col min="23" max="23" width="21.81640625" customWidth="1"/>
  </cols>
  <sheetData>
    <row r="1" spans="1:23" ht="28.5" thickBot="1" x14ac:dyDescent="0.4">
      <c r="A1" s="39" t="s">
        <v>238</v>
      </c>
      <c r="B1" s="40" t="s">
        <v>250</v>
      </c>
      <c r="C1" s="42" t="s">
        <v>313</v>
      </c>
      <c r="D1" s="43" t="s">
        <v>285</v>
      </c>
      <c r="E1" s="43" t="s">
        <v>286</v>
      </c>
      <c r="F1" s="43" t="s">
        <v>287</v>
      </c>
      <c r="G1" s="42" t="s">
        <v>358</v>
      </c>
      <c r="H1" s="43" t="s">
        <v>359</v>
      </c>
      <c r="I1" s="43" t="s">
        <v>360</v>
      </c>
      <c r="J1" s="42" t="s">
        <v>460</v>
      </c>
      <c r="K1" s="43" t="s">
        <v>361</v>
      </c>
      <c r="L1" s="43" t="s">
        <v>362</v>
      </c>
      <c r="M1" s="43" t="s">
        <v>950</v>
      </c>
      <c r="N1" s="43" t="s">
        <v>951</v>
      </c>
      <c r="O1" s="44" t="s">
        <v>952</v>
      </c>
      <c r="P1" s="45" t="s">
        <v>953</v>
      </c>
      <c r="Q1" s="38" t="s">
        <v>954</v>
      </c>
      <c r="R1" s="42" t="s">
        <v>955</v>
      </c>
      <c r="S1" s="43" t="s">
        <v>956</v>
      </c>
      <c r="T1" s="43" t="s">
        <v>957</v>
      </c>
      <c r="U1" s="43" t="s">
        <v>1034</v>
      </c>
      <c r="V1" s="43" t="s">
        <v>958</v>
      </c>
      <c r="W1" s="44" t="s">
        <v>959</v>
      </c>
    </row>
    <row r="2" spans="1:23" ht="25" x14ac:dyDescent="0.35">
      <c r="A2" s="133" t="s">
        <v>255</v>
      </c>
      <c r="B2" s="31" t="s">
        <v>256</v>
      </c>
      <c r="C2" s="32" t="s">
        <v>292</v>
      </c>
      <c r="D2" s="26" t="s">
        <v>292</v>
      </c>
      <c r="E2" s="26" t="s">
        <v>293</v>
      </c>
      <c r="F2" s="26" t="s">
        <v>322</v>
      </c>
      <c r="G2" s="26"/>
      <c r="H2" s="26" t="s">
        <v>1056</v>
      </c>
      <c r="I2" s="26" t="s">
        <v>372</v>
      </c>
      <c r="J2" s="26" t="s">
        <v>461</v>
      </c>
      <c r="K2" s="26" t="s">
        <v>292</v>
      </c>
      <c r="L2" s="26" t="s">
        <v>373</v>
      </c>
      <c r="M2" s="26"/>
      <c r="N2" s="26"/>
      <c r="O2" s="26"/>
      <c r="P2" s="26"/>
      <c r="Q2" s="26" t="s">
        <v>401</v>
      </c>
      <c r="R2" s="26"/>
      <c r="S2" s="26"/>
      <c r="T2" s="26"/>
      <c r="U2" s="26"/>
      <c r="V2" s="26" t="s">
        <v>706</v>
      </c>
      <c r="W2" s="27"/>
    </row>
    <row r="3" spans="1:23" ht="37.5" x14ac:dyDescent="0.35">
      <c r="A3" s="134"/>
      <c r="B3" s="33" t="s">
        <v>323</v>
      </c>
      <c r="C3" s="34" t="s">
        <v>719</v>
      </c>
      <c r="D3" s="25" t="s">
        <v>720</v>
      </c>
      <c r="E3" s="25" t="s">
        <v>294</v>
      </c>
      <c r="F3" s="25" t="s">
        <v>345</v>
      </c>
      <c r="G3" s="25" t="s">
        <v>375</v>
      </c>
      <c r="H3" s="25" t="s">
        <v>425</v>
      </c>
      <c r="I3" s="25" t="s">
        <v>426</v>
      </c>
      <c r="J3" s="25"/>
      <c r="K3" s="25" t="s">
        <v>427</v>
      </c>
      <c r="L3" s="25" t="s">
        <v>376</v>
      </c>
      <c r="M3" s="25"/>
      <c r="N3" s="25" t="s">
        <v>428</v>
      </c>
      <c r="O3" s="25"/>
      <c r="P3" s="25"/>
      <c r="Q3" s="25" t="s">
        <v>401</v>
      </c>
      <c r="R3" s="25" t="s">
        <v>429</v>
      </c>
      <c r="S3" s="25"/>
      <c r="T3" s="25" t="s">
        <v>660</v>
      </c>
      <c r="U3" s="25"/>
      <c r="V3" s="25" t="s">
        <v>295</v>
      </c>
      <c r="W3" s="28" t="s">
        <v>707</v>
      </c>
    </row>
    <row r="4" spans="1:23" ht="62.5" x14ac:dyDescent="0.35">
      <c r="A4" s="134"/>
      <c r="B4" s="33" t="s">
        <v>257</v>
      </c>
      <c r="C4" s="34" t="s">
        <v>306</v>
      </c>
      <c r="D4" s="25" t="s">
        <v>307</v>
      </c>
      <c r="E4" s="25"/>
      <c r="F4" s="25" t="s">
        <v>308</v>
      </c>
      <c r="G4" s="25"/>
      <c r="H4" s="25" t="s">
        <v>1060</v>
      </c>
      <c r="I4" s="25"/>
      <c r="J4" s="25" t="s">
        <v>464</v>
      </c>
      <c r="K4" s="25" t="s">
        <v>431</v>
      </c>
      <c r="L4" s="120" t="s">
        <v>379</v>
      </c>
      <c r="M4" s="25" t="s">
        <v>296</v>
      </c>
      <c r="N4" s="25"/>
      <c r="O4" s="25" t="s">
        <v>380</v>
      </c>
      <c r="P4" s="25"/>
      <c r="Q4" s="25" t="s">
        <v>403</v>
      </c>
      <c r="R4" s="25" t="s">
        <v>382</v>
      </c>
      <c r="S4" s="25"/>
      <c r="T4" s="25" t="s">
        <v>661</v>
      </c>
      <c r="U4" s="25"/>
      <c r="V4" s="25"/>
      <c r="W4" s="28" t="s">
        <v>325</v>
      </c>
    </row>
    <row r="5" spans="1:23" ht="25.5" thickBot="1" x14ac:dyDescent="0.4">
      <c r="A5" s="134"/>
      <c r="B5" s="35" t="s">
        <v>326</v>
      </c>
      <c r="C5" s="36"/>
      <c r="D5" s="29"/>
      <c r="E5" s="29"/>
      <c r="F5" s="29" t="s">
        <v>346</v>
      </c>
      <c r="G5" s="29" t="s">
        <v>383</v>
      </c>
      <c r="H5" s="29" t="s">
        <v>384</v>
      </c>
      <c r="I5" s="29"/>
      <c r="J5" s="29"/>
      <c r="K5" s="29" t="s">
        <v>385</v>
      </c>
      <c r="L5" s="29" t="s">
        <v>432</v>
      </c>
      <c r="M5" s="29"/>
      <c r="N5" s="29"/>
      <c r="O5" s="29"/>
      <c r="P5" s="29"/>
      <c r="Q5" s="29"/>
      <c r="R5" s="29"/>
      <c r="S5" s="29"/>
      <c r="T5" s="29" t="s">
        <v>668</v>
      </c>
      <c r="U5" s="29"/>
      <c r="V5" s="29"/>
      <c r="W5" s="30"/>
    </row>
    <row r="6" spans="1:23" ht="50" x14ac:dyDescent="0.35">
      <c r="A6" s="133" t="s">
        <v>687</v>
      </c>
      <c r="B6" s="31" t="s">
        <v>641</v>
      </c>
      <c r="C6" s="90" t="s">
        <v>691</v>
      </c>
      <c r="D6" s="79" t="s">
        <v>696</v>
      </c>
      <c r="E6" s="26" t="s">
        <v>692</v>
      </c>
      <c r="F6" s="26" t="s">
        <v>694</v>
      </c>
      <c r="G6" s="79" t="s">
        <v>695</v>
      </c>
      <c r="H6" s="26" t="s">
        <v>1002</v>
      </c>
      <c r="I6" s="26"/>
      <c r="J6" s="79" t="s">
        <v>1003</v>
      </c>
      <c r="K6" s="79" t="s">
        <v>716</v>
      </c>
      <c r="L6" s="26"/>
      <c r="M6" s="124" t="s">
        <v>1004</v>
      </c>
      <c r="N6" s="26" t="s">
        <v>703</v>
      </c>
      <c r="O6" s="79" t="s">
        <v>717</v>
      </c>
      <c r="P6" s="26" t="s">
        <v>702</v>
      </c>
      <c r="Q6" s="79" t="s">
        <v>708</v>
      </c>
      <c r="R6" s="79" t="s">
        <v>708</v>
      </c>
      <c r="S6" s="79" t="s">
        <v>960</v>
      </c>
      <c r="T6" s="26" t="s">
        <v>710</v>
      </c>
      <c r="U6" s="124" t="s">
        <v>1045</v>
      </c>
      <c r="V6" s="79" t="s">
        <v>713</v>
      </c>
      <c r="W6" s="81" t="s">
        <v>714</v>
      </c>
    </row>
    <row r="7" spans="1:23" ht="50" x14ac:dyDescent="0.35">
      <c r="A7" s="134"/>
      <c r="B7" s="33" t="s">
        <v>642</v>
      </c>
      <c r="C7" s="34"/>
      <c r="D7" s="80" t="s">
        <v>697</v>
      </c>
      <c r="E7" s="25" t="s">
        <v>693</v>
      </c>
      <c r="F7" s="25"/>
      <c r="G7" s="25"/>
      <c r="H7" s="80" t="s">
        <v>699</v>
      </c>
      <c r="I7" s="25"/>
      <c r="J7" s="80" t="s">
        <v>1006</v>
      </c>
      <c r="K7" s="25"/>
      <c r="L7" s="25"/>
      <c r="M7" s="80" t="s">
        <v>1005</v>
      </c>
      <c r="N7" s="25" t="s">
        <v>704</v>
      </c>
      <c r="O7" s="25"/>
      <c r="P7" s="25" t="s">
        <v>701</v>
      </c>
      <c r="Q7" s="80" t="s">
        <v>709</v>
      </c>
      <c r="R7" s="25"/>
      <c r="S7" s="80" t="s">
        <v>711</v>
      </c>
      <c r="T7" s="25"/>
      <c r="U7" s="25"/>
      <c r="V7" s="80" t="s">
        <v>1007</v>
      </c>
      <c r="W7" s="112" t="s">
        <v>712</v>
      </c>
    </row>
    <row r="8" spans="1:23" ht="50.5" thickBot="1" x14ac:dyDescent="0.4">
      <c r="A8" s="136"/>
      <c r="B8" s="35" t="s">
        <v>592</v>
      </c>
      <c r="C8" s="122" t="s">
        <v>1064</v>
      </c>
      <c r="D8" s="29"/>
      <c r="E8" s="29" t="s">
        <v>350</v>
      </c>
      <c r="F8" s="123" t="s">
        <v>1065</v>
      </c>
      <c r="G8" s="29"/>
      <c r="H8" s="29"/>
      <c r="I8" s="29"/>
      <c r="J8" s="29"/>
      <c r="K8" s="29"/>
      <c r="L8" s="29" t="s">
        <v>700</v>
      </c>
      <c r="M8" s="29" t="s">
        <v>351</v>
      </c>
      <c r="N8" s="29" t="s">
        <v>416</v>
      </c>
      <c r="O8" s="123" t="s">
        <v>396</v>
      </c>
      <c r="P8" s="29" t="s">
        <v>444</v>
      </c>
      <c r="Q8" s="29"/>
      <c r="R8" s="123" t="s">
        <v>718</v>
      </c>
      <c r="S8" s="29" t="s">
        <v>961</v>
      </c>
      <c r="T8" s="29"/>
      <c r="U8" s="29" t="s">
        <v>1035</v>
      </c>
      <c r="V8" s="29"/>
      <c r="W8" s="30"/>
    </row>
    <row r="9" spans="1:23" ht="37.5" x14ac:dyDescent="0.35">
      <c r="A9" s="134" t="s">
        <v>688</v>
      </c>
      <c r="B9" s="31" t="s">
        <v>259</v>
      </c>
      <c r="C9" s="32" t="s">
        <v>965</v>
      </c>
      <c r="D9" s="26" t="s">
        <v>721</v>
      </c>
      <c r="E9" s="26" t="s">
        <v>968</v>
      </c>
      <c r="F9" s="26" t="s">
        <v>969</v>
      </c>
      <c r="G9" s="26" t="s">
        <v>970</v>
      </c>
      <c r="H9" s="26" t="s">
        <v>971</v>
      </c>
      <c r="I9" s="26" t="s">
        <v>981</v>
      </c>
      <c r="J9" s="26" t="s">
        <v>972</v>
      </c>
      <c r="K9" s="26"/>
      <c r="L9" s="26" t="s">
        <v>977</v>
      </c>
      <c r="M9" s="26" t="s">
        <v>705</v>
      </c>
      <c r="N9" s="26" t="s">
        <v>441</v>
      </c>
      <c r="O9" s="26" t="s">
        <v>415</v>
      </c>
      <c r="P9" s="26" t="s">
        <v>988</v>
      </c>
      <c r="Q9" s="26" t="s">
        <v>715</v>
      </c>
      <c r="R9" s="26" t="s">
        <v>395</v>
      </c>
      <c r="S9" s="26" t="s">
        <v>989</v>
      </c>
      <c r="T9" s="26"/>
      <c r="U9" s="26" t="s">
        <v>1046</v>
      </c>
      <c r="V9" s="26" t="s">
        <v>990</v>
      </c>
      <c r="W9" s="27"/>
    </row>
    <row r="10" spans="1:23" ht="25" customHeight="1" x14ac:dyDescent="0.35">
      <c r="A10" s="134"/>
      <c r="B10" s="113" t="s">
        <v>962</v>
      </c>
      <c r="C10" s="114" t="s">
        <v>966</v>
      </c>
      <c r="D10" s="115"/>
      <c r="E10" s="115" t="s">
        <v>689</v>
      </c>
      <c r="F10" s="115"/>
      <c r="G10" s="115"/>
      <c r="H10" s="115"/>
      <c r="I10" s="115"/>
      <c r="J10" s="115" t="s">
        <v>973</v>
      </c>
      <c r="K10" s="115"/>
      <c r="L10" s="115"/>
      <c r="M10" s="115" t="s">
        <v>983</v>
      </c>
      <c r="N10" s="115" t="s">
        <v>984</v>
      </c>
      <c r="O10" s="115"/>
      <c r="P10" s="115" t="s">
        <v>987</v>
      </c>
      <c r="Q10" s="115"/>
      <c r="R10" s="116"/>
      <c r="S10" s="115"/>
      <c r="T10" s="115"/>
      <c r="U10" s="115"/>
      <c r="V10" s="115" t="s">
        <v>966</v>
      </c>
      <c r="W10" s="117"/>
    </row>
    <row r="11" spans="1:23" ht="50" x14ac:dyDescent="0.35">
      <c r="A11" s="134"/>
      <c r="B11" s="33" t="s">
        <v>963</v>
      </c>
      <c r="C11" s="34"/>
      <c r="D11" s="25"/>
      <c r="E11" s="25" t="s">
        <v>978</v>
      </c>
      <c r="F11" s="25" t="s">
        <v>979</v>
      </c>
      <c r="G11" s="25"/>
      <c r="H11" s="25" t="s">
        <v>690</v>
      </c>
      <c r="I11" s="25" t="s">
        <v>982</v>
      </c>
      <c r="J11" s="25" t="s">
        <v>974</v>
      </c>
      <c r="K11" s="25" t="s">
        <v>976</v>
      </c>
      <c r="L11" s="151"/>
      <c r="M11" s="25"/>
      <c r="N11" s="25"/>
      <c r="O11" s="25"/>
      <c r="P11" s="25" t="s">
        <v>985</v>
      </c>
      <c r="Q11" s="25"/>
      <c r="R11" s="110"/>
      <c r="S11" s="25" t="s">
        <v>258</v>
      </c>
      <c r="T11" s="25"/>
      <c r="U11" s="25" t="s">
        <v>1047</v>
      </c>
      <c r="V11" s="25" t="s">
        <v>991</v>
      </c>
      <c r="W11" s="28" t="s">
        <v>1008</v>
      </c>
    </row>
    <row r="12" spans="1:23" ht="25.5" thickBot="1" x14ac:dyDescent="0.4">
      <c r="A12" s="136"/>
      <c r="B12" s="35" t="s">
        <v>964</v>
      </c>
      <c r="C12" s="36"/>
      <c r="D12" s="29"/>
      <c r="E12" s="29" t="s">
        <v>967</v>
      </c>
      <c r="F12" s="152"/>
      <c r="G12" s="29"/>
      <c r="H12" s="29" t="s">
        <v>980</v>
      </c>
      <c r="I12" s="29"/>
      <c r="J12" s="29" t="s">
        <v>975</v>
      </c>
      <c r="K12" s="29"/>
      <c r="L12" s="29"/>
      <c r="M12" s="29"/>
      <c r="N12" s="29" t="s">
        <v>964</v>
      </c>
      <c r="O12" s="29"/>
      <c r="P12" s="29" t="s">
        <v>986</v>
      </c>
      <c r="Q12" s="29"/>
      <c r="R12" s="29"/>
      <c r="S12" s="29"/>
      <c r="T12" s="29"/>
      <c r="U12" s="29"/>
      <c r="V12" s="29" t="s">
        <v>992</v>
      </c>
      <c r="W12" s="30"/>
    </row>
    <row r="14" spans="1:23" x14ac:dyDescent="0.35">
      <c r="L14" s="78"/>
    </row>
    <row r="15" spans="1:23" x14ac:dyDescent="0.35">
      <c r="A15" s="68" t="s">
        <v>698</v>
      </c>
    </row>
    <row r="16" spans="1:23" x14ac:dyDescent="0.35">
      <c r="A16" s="121" t="s">
        <v>1064</v>
      </c>
    </row>
    <row r="18" ht="14.5" customHeight="1" x14ac:dyDescent="0.35"/>
    <row r="19" ht="50" customHeight="1" x14ac:dyDescent="0.35"/>
    <row r="21" ht="56" customHeight="1" x14ac:dyDescent="0.35"/>
    <row r="22" ht="34" customHeight="1" x14ac:dyDescent="0.35"/>
    <row r="23" ht="50" customHeight="1" x14ac:dyDescent="0.35"/>
    <row r="24" ht="50" customHeight="1" x14ac:dyDescent="0.35"/>
    <row r="25" ht="87.5" customHeight="1" x14ac:dyDescent="0.35"/>
    <row r="26" ht="75" customHeight="1" x14ac:dyDescent="0.35"/>
    <row r="27" ht="50.5" customHeight="1" x14ac:dyDescent="0.35"/>
  </sheetData>
  <mergeCells count="3">
    <mergeCell ref="A2:A5"/>
    <mergeCell ref="A6:A8"/>
    <mergeCell ref="A9:A12"/>
  </mergeCells>
  <pageMargins left="0.70866141732283472" right="0.70866141732283472" top="0.78740157480314965" bottom="0.78740157480314965" header="0.31496062992125984" footer="0.31496062992125984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A05C-DE60-48CF-8EAC-BA1D4A04F40F}">
  <dimension ref="A1:D14"/>
  <sheetViews>
    <sheetView workbookViewId="0">
      <selection activeCell="C16" sqref="C16"/>
    </sheetView>
  </sheetViews>
  <sheetFormatPr baseColWidth="10" defaultRowHeight="14.5" x14ac:dyDescent="0.35"/>
  <cols>
    <col min="1" max="2" width="18.36328125" customWidth="1"/>
    <col min="3" max="4" width="50.1796875" customWidth="1"/>
  </cols>
  <sheetData>
    <row r="1" spans="1:4" x14ac:dyDescent="0.35">
      <c r="A1" s="69" t="s">
        <v>1066</v>
      </c>
      <c r="B1" s="69" t="s">
        <v>1067</v>
      </c>
      <c r="C1" s="69" t="s">
        <v>1068</v>
      </c>
      <c r="D1" s="69" t="s">
        <v>1069</v>
      </c>
    </row>
    <row r="2" spans="1:4" x14ac:dyDescent="0.35">
      <c r="A2" s="125" t="s">
        <v>1070</v>
      </c>
      <c r="B2" s="125" t="s">
        <v>1071</v>
      </c>
      <c r="C2" s="125" t="s">
        <v>1072</v>
      </c>
      <c r="D2" s="125" t="s">
        <v>1073</v>
      </c>
    </row>
    <row r="3" spans="1:4" x14ac:dyDescent="0.35">
      <c r="A3" s="125" t="s">
        <v>1074</v>
      </c>
      <c r="B3" s="125" t="s">
        <v>1075</v>
      </c>
      <c r="C3" s="125" t="s">
        <v>1076</v>
      </c>
      <c r="D3" s="125" t="s">
        <v>1077</v>
      </c>
    </row>
    <row r="4" spans="1:4" x14ac:dyDescent="0.35">
      <c r="A4" s="125" t="s">
        <v>1078</v>
      </c>
      <c r="B4" s="125" t="s">
        <v>1079</v>
      </c>
      <c r="C4" s="125" t="s">
        <v>1080</v>
      </c>
      <c r="D4" s="125" t="s">
        <v>1081</v>
      </c>
    </row>
    <row r="5" spans="1:4" x14ac:dyDescent="0.35">
      <c r="A5" s="125" t="s">
        <v>1082</v>
      </c>
      <c r="B5" s="125" t="s">
        <v>1083</v>
      </c>
      <c r="C5" s="125" t="s">
        <v>1084</v>
      </c>
      <c r="D5" s="125" t="s">
        <v>1085</v>
      </c>
    </row>
    <row r="6" spans="1:4" x14ac:dyDescent="0.35">
      <c r="A6" s="125" t="s">
        <v>1086</v>
      </c>
      <c r="B6" s="125" t="s">
        <v>1087</v>
      </c>
      <c r="C6" s="125" t="s">
        <v>1088</v>
      </c>
      <c r="D6" s="125" t="s">
        <v>1089</v>
      </c>
    </row>
    <row r="7" spans="1:4" x14ac:dyDescent="0.35">
      <c r="A7" s="74" t="s">
        <v>1090</v>
      </c>
      <c r="B7" s="74" t="s">
        <v>1091</v>
      </c>
      <c r="C7" s="74" t="s">
        <v>1092</v>
      </c>
      <c r="D7" s="74" t="s">
        <v>1093</v>
      </c>
    </row>
    <row r="8" spans="1:4" x14ac:dyDescent="0.35">
      <c r="A8" s="74" t="s">
        <v>1094</v>
      </c>
      <c r="B8" s="74" t="s">
        <v>1095</v>
      </c>
      <c r="C8" s="74" t="s">
        <v>1096</v>
      </c>
      <c r="D8" s="74" t="s">
        <v>1097</v>
      </c>
    </row>
    <row r="9" spans="1:4" x14ac:dyDescent="0.35">
      <c r="A9" s="74" t="s">
        <v>1098</v>
      </c>
      <c r="B9" s="74" t="s">
        <v>1099</v>
      </c>
      <c r="C9" s="74" t="s">
        <v>1100</v>
      </c>
      <c r="D9" s="74" t="s">
        <v>1101</v>
      </c>
    </row>
    <row r="10" spans="1:4" x14ac:dyDescent="0.35">
      <c r="A10" s="74" t="s">
        <v>1102</v>
      </c>
      <c r="B10" s="74" t="s">
        <v>1103</v>
      </c>
      <c r="C10" s="74" t="s">
        <v>1104</v>
      </c>
      <c r="D10" s="74" t="s">
        <v>1105</v>
      </c>
    </row>
    <row r="11" spans="1:4" x14ac:dyDescent="0.35">
      <c r="A11" s="74" t="s">
        <v>1106</v>
      </c>
      <c r="B11" s="74" t="s">
        <v>1107</v>
      </c>
      <c r="C11" s="74" t="s">
        <v>1108</v>
      </c>
      <c r="D11" s="74" t="s">
        <v>1109</v>
      </c>
    </row>
    <row r="12" spans="1:4" x14ac:dyDescent="0.35">
      <c r="A12" s="74" t="s">
        <v>1110</v>
      </c>
      <c r="B12" s="74" t="s">
        <v>1111</v>
      </c>
      <c r="C12" s="74" t="s">
        <v>1112</v>
      </c>
      <c r="D12" s="74" t="s">
        <v>1113</v>
      </c>
    </row>
    <row r="13" spans="1:4" x14ac:dyDescent="0.35">
      <c r="A13" s="74" t="s">
        <v>1114</v>
      </c>
      <c r="B13" s="74" t="s">
        <v>1115</v>
      </c>
      <c r="C13" s="74" t="s">
        <v>1116</v>
      </c>
      <c r="D13" s="74" t="s">
        <v>1117</v>
      </c>
    </row>
    <row r="14" spans="1:4" x14ac:dyDescent="0.35">
      <c r="A14" s="74" t="s">
        <v>1118</v>
      </c>
      <c r="B14" s="74" t="s">
        <v>1119</v>
      </c>
      <c r="C14" s="74" t="s">
        <v>1120</v>
      </c>
      <c r="D14" s="74" t="s">
        <v>1121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DF66-24ED-41CC-A436-656F740ECEA8}">
  <dimension ref="A1:C5"/>
  <sheetViews>
    <sheetView workbookViewId="0">
      <selection activeCell="C4" sqref="C4"/>
    </sheetView>
  </sheetViews>
  <sheetFormatPr baseColWidth="10" defaultRowHeight="14.5" x14ac:dyDescent="0.35"/>
  <cols>
    <col min="1" max="1" width="28.6328125" bestFit="1" customWidth="1"/>
    <col min="2" max="2" width="80.81640625" customWidth="1"/>
    <col min="3" max="3" width="28.453125" bestFit="1" customWidth="1"/>
  </cols>
  <sheetData>
    <row r="1" spans="1:3" x14ac:dyDescent="0.35">
      <c r="A1" s="12" t="s">
        <v>238</v>
      </c>
      <c r="B1" s="12" t="s">
        <v>239</v>
      </c>
      <c r="C1" s="12" t="s">
        <v>240</v>
      </c>
    </row>
    <row r="2" spans="1:3" ht="29" x14ac:dyDescent="0.35">
      <c r="A2" s="6" t="s">
        <v>241</v>
      </c>
      <c r="B2" s="6" t="s">
        <v>247</v>
      </c>
      <c r="C2" s="6" t="s">
        <v>242</v>
      </c>
    </row>
    <row r="3" spans="1:3" ht="27.5" customHeight="1" x14ac:dyDescent="0.35">
      <c r="A3" s="6" t="s">
        <v>243</v>
      </c>
      <c r="B3" s="6" t="s">
        <v>244</v>
      </c>
      <c r="C3" s="6"/>
    </row>
    <row r="4" spans="1:3" ht="29" x14ac:dyDescent="0.35">
      <c r="A4" s="6" t="s">
        <v>245</v>
      </c>
      <c r="B4" s="6" t="s">
        <v>248</v>
      </c>
      <c r="C4" s="6"/>
    </row>
    <row r="5" spans="1:3" ht="29" x14ac:dyDescent="0.35">
      <c r="A5" s="6" t="s">
        <v>246</v>
      </c>
      <c r="B5" s="6" t="s">
        <v>249</v>
      </c>
      <c r="C5" s="6"/>
    </row>
  </sheetData>
  <phoneticPr fontId="1" type="noConversion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1E66-F69A-4A6E-8DB3-95C6DD4CBD0F}">
  <dimension ref="A1:D22"/>
  <sheetViews>
    <sheetView zoomScale="84" workbookViewId="0">
      <selection activeCell="B27" sqref="B27"/>
    </sheetView>
  </sheetViews>
  <sheetFormatPr baseColWidth="10" defaultRowHeight="14.5" x14ac:dyDescent="0.35"/>
  <cols>
    <col min="1" max="1" width="11.6328125" bestFit="1" customWidth="1"/>
    <col min="2" max="2" width="26.1796875" bestFit="1" customWidth="1"/>
    <col min="3" max="3" width="50" style="51" bestFit="1" customWidth="1"/>
    <col min="4" max="4" width="138.453125" bestFit="1" customWidth="1"/>
  </cols>
  <sheetData>
    <row r="1" spans="1:4" ht="15" thickBot="1" x14ac:dyDescent="0.4">
      <c r="A1" s="54" t="s">
        <v>491</v>
      </c>
      <c r="B1" s="55" t="s">
        <v>492</v>
      </c>
      <c r="C1" s="56" t="s">
        <v>493</v>
      </c>
      <c r="D1" s="57" t="s">
        <v>494</v>
      </c>
    </row>
    <row r="2" spans="1:4" x14ac:dyDescent="0.35">
      <c r="A2" s="139" t="s">
        <v>495</v>
      </c>
      <c r="B2" s="142" t="s">
        <v>496</v>
      </c>
      <c r="C2" s="145"/>
      <c r="D2" s="149" t="s">
        <v>524</v>
      </c>
    </row>
    <row r="3" spans="1:4" x14ac:dyDescent="0.35">
      <c r="A3" s="141"/>
      <c r="B3" s="143"/>
      <c r="C3" s="146"/>
      <c r="D3" s="148"/>
    </row>
    <row r="4" spans="1:4" ht="15" thickBot="1" x14ac:dyDescent="0.4">
      <c r="A4" s="140"/>
      <c r="B4" s="144"/>
      <c r="C4" s="147"/>
      <c r="D4" s="150"/>
    </row>
    <row r="5" spans="1:4" x14ac:dyDescent="0.35">
      <c r="A5" s="139" t="s">
        <v>2</v>
      </c>
      <c r="B5" s="58" t="s">
        <v>497</v>
      </c>
      <c r="C5" s="59" t="s">
        <v>525</v>
      </c>
      <c r="D5" s="60" t="s">
        <v>498</v>
      </c>
    </row>
    <row r="6" spans="1:4" x14ac:dyDescent="0.35">
      <c r="A6" s="141"/>
      <c r="B6" s="53" t="s">
        <v>499</v>
      </c>
      <c r="C6" s="52" t="s">
        <v>526</v>
      </c>
      <c r="D6" s="61" t="s">
        <v>500</v>
      </c>
    </row>
    <row r="7" spans="1:4" x14ac:dyDescent="0.35">
      <c r="A7" s="141"/>
      <c r="B7" s="53" t="s">
        <v>501</v>
      </c>
      <c r="C7" s="52" t="s">
        <v>527</v>
      </c>
      <c r="D7" s="61" t="s">
        <v>502</v>
      </c>
    </row>
    <row r="8" spans="1:4" ht="15" thickBot="1" x14ac:dyDescent="0.4">
      <c r="A8" s="140"/>
      <c r="B8" s="62"/>
      <c r="C8" s="63"/>
      <c r="D8" s="64"/>
    </row>
    <row r="9" spans="1:4" ht="25" x14ac:dyDescent="0.35">
      <c r="A9" s="139" t="s">
        <v>3</v>
      </c>
      <c r="B9" s="58" t="s">
        <v>503</v>
      </c>
      <c r="C9" s="59" t="s">
        <v>504</v>
      </c>
      <c r="D9" s="60" t="s">
        <v>505</v>
      </c>
    </row>
    <row r="10" spans="1:4" ht="15" thickBot="1" x14ac:dyDescent="0.4">
      <c r="A10" s="140"/>
      <c r="B10" s="82" t="s">
        <v>506</v>
      </c>
      <c r="C10" s="83" t="s">
        <v>507</v>
      </c>
      <c r="D10" s="84" t="s">
        <v>508</v>
      </c>
    </row>
    <row r="11" spans="1:4" ht="31" customHeight="1" x14ac:dyDescent="0.35">
      <c r="A11" s="137" t="s">
        <v>4</v>
      </c>
      <c r="B11" s="88" t="s">
        <v>509</v>
      </c>
      <c r="C11" s="59" t="s">
        <v>528</v>
      </c>
      <c r="D11" s="60" t="s">
        <v>510</v>
      </c>
    </row>
    <row r="12" spans="1:4" ht="31" customHeight="1" thickBot="1" x14ac:dyDescent="0.4">
      <c r="A12" s="138"/>
      <c r="B12" s="89"/>
      <c r="C12" s="63"/>
      <c r="D12" s="64"/>
    </row>
    <row r="13" spans="1:4" ht="25" x14ac:dyDescent="0.35">
      <c r="A13" s="139" t="s">
        <v>5</v>
      </c>
      <c r="B13" s="85" t="s">
        <v>511</v>
      </c>
      <c r="C13" s="86" t="s">
        <v>512</v>
      </c>
      <c r="D13" s="87" t="s">
        <v>513</v>
      </c>
    </row>
    <row r="14" spans="1:4" x14ac:dyDescent="0.35">
      <c r="A14" s="141"/>
      <c r="B14" s="53" t="s">
        <v>514</v>
      </c>
      <c r="C14" s="52" t="s">
        <v>515</v>
      </c>
      <c r="D14" s="61" t="s">
        <v>516</v>
      </c>
    </row>
    <row r="15" spans="1:4" x14ac:dyDescent="0.35">
      <c r="A15" s="141"/>
      <c r="B15" s="53" t="s">
        <v>474</v>
      </c>
      <c r="C15" s="52" t="s">
        <v>517</v>
      </c>
      <c r="D15" s="61" t="s">
        <v>518</v>
      </c>
    </row>
    <row r="16" spans="1:4" ht="25" x14ac:dyDescent="0.35">
      <c r="A16" s="141"/>
      <c r="B16" s="143"/>
      <c r="C16" s="52" t="s">
        <v>519</v>
      </c>
      <c r="D16" s="148" t="s">
        <v>521</v>
      </c>
    </row>
    <row r="17" spans="1:4" x14ac:dyDescent="0.35">
      <c r="A17" s="141"/>
      <c r="B17" s="143"/>
      <c r="C17" s="52" t="s">
        <v>520</v>
      </c>
      <c r="D17" s="148"/>
    </row>
    <row r="18" spans="1:4" ht="15" thickBot="1" x14ac:dyDescent="0.4">
      <c r="A18" s="140"/>
      <c r="B18" s="62"/>
      <c r="C18" s="63" t="s">
        <v>522</v>
      </c>
      <c r="D18" s="64" t="s">
        <v>523</v>
      </c>
    </row>
    <row r="19" spans="1:4" x14ac:dyDescent="0.35">
      <c r="A19" s="137" t="s">
        <v>6</v>
      </c>
      <c r="B19" s="88" t="s">
        <v>1010</v>
      </c>
      <c r="C19" s="59" t="s">
        <v>1011</v>
      </c>
      <c r="D19" s="60" t="s">
        <v>1012</v>
      </c>
    </row>
    <row r="20" spans="1:4" ht="15" thickBot="1" x14ac:dyDescent="0.4">
      <c r="A20" s="138"/>
      <c r="B20" s="89"/>
      <c r="C20" s="63"/>
      <c r="D20" s="64"/>
    </row>
    <row r="21" spans="1:4" x14ac:dyDescent="0.35">
      <c r="A21" s="139" t="s">
        <v>7</v>
      </c>
      <c r="B21" s="58" t="s">
        <v>1057</v>
      </c>
      <c r="C21" s="59" t="s">
        <v>1058</v>
      </c>
      <c r="D21" s="60" t="s">
        <v>1059</v>
      </c>
    </row>
    <row r="22" spans="1:4" ht="15" thickBot="1" x14ac:dyDescent="0.4">
      <c r="A22" s="140"/>
      <c r="B22" s="62"/>
      <c r="C22" s="63"/>
      <c r="D22" s="64"/>
    </row>
  </sheetData>
  <mergeCells count="12">
    <mergeCell ref="D16:D17"/>
    <mergeCell ref="D2:D4"/>
    <mergeCell ref="A13:A18"/>
    <mergeCell ref="A9:A10"/>
    <mergeCell ref="A5:A8"/>
    <mergeCell ref="A11:A12"/>
    <mergeCell ref="A19:A20"/>
    <mergeCell ref="A21:A22"/>
    <mergeCell ref="A2:A4"/>
    <mergeCell ref="B2:B4"/>
    <mergeCell ref="C2:C4"/>
    <mergeCell ref="B16:B1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91FF-44F0-441B-9BF4-83ADF34482BD}">
  <dimension ref="A1:AH23"/>
  <sheetViews>
    <sheetView tabSelected="1" zoomScale="70" zoomScaleNormal="70" workbookViewId="0">
      <pane xSplit="2" topLeftCell="L1" activePane="topRight" state="frozen"/>
      <selection pane="topRight" activeCell="I21" sqref="I21"/>
    </sheetView>
  </sheetViews>
  <sheetFormatPr baseColWidth="10" defaultRowHeight="14.5" x14ac:dyDescent="0.35"/>
  <cols>
    <col min="1" max="1" width="12.81640625" customWidth="1"/>
    <col min="2" max="2" width="20.36328125" style="14" customWidth="1"/>
    <col min="3" max="3" width="35" style="14" bestFit="1" customWidth="1"/>
    <col min="4" max="4" width="37.453125" style="14" customWidth="1"/>
    <col min="5" max="5" width="27" style="14" bestFit="1" customWidth="1"/>
    <col min="6" max="6" width="36.81640625" style="14" bestFit="1" customWidth="1"/>
    <col min="7" max="7" width="31.36328125" style="14" bestFit="1" customWidth="1"/>
    <col min="8" max="8" width="27" style="14" bestFit="1" customWidth="1"/>
    <col min="9" max="9" width="26.36328125" style="14" bestFit="1" customWidth="1"/>
    <col min="10" max="10" width="34.1796875" style="14" bestFit="1" customWidth="1"/>
    <col min="11" max="11" width="32.6328125" style="14" customWidth="1"/>
    <col min="12" max="12" width="30.1796875" style="14" bestFit="1" customWidth="1"/>
    <col min="13" max="13" width="28.6328125" style="6" bestFit="1" customWidth="1"/>
    <col min="14" max="14" width="37.81640625" style="6" bestFit="1" customWidth="1"/>
    <col min="15" max="15" width="36.81640625" style="6" bestFit="1" customWidth="1"/>
    <col min="16" max="16" width="35.36328125" style="6" bestFit="1" customWidth="1"/>
    <col min="17" max="17" width="35.81640625" style="6" bestFit="1" customWidth="1"/>
    <col min="18" max="18" width="36.1796875" style="6" bestFit="1" customWidth="1"/>
    <col min="19" max="19" width="35.36328125" style="6" bestFit="1" customWidth="1"/>
    <col min="20" max="20" width="36.36328125" style="6" customWidth="1"/>
    <col min="21" max="21" width="38.453125" style="6" bestFit="1" customWidth="1"/>
    <col min="22" max="22" width="32.36328125" style="6" bestFit="1" customWidth="1"/>
    <col min="23" max="23" width="31" bestFit="1" customWidth="1"/>
  </cols>
  <sheetData>
    <row r="1" spans="1:34" s="94" customFormat="1" ht="15" thickBot="1" x14ac:dyDescent="0.4">
      <c r="A1" s="37" t="s">
        <v>238</v>
      </c>
      <c r="B1" s="91" t="s">
        <v>250</v>
      </c>
      <c r="C1" s="42" t="s">
        <v>313</v>
      </c>
      <c r="D1" s="43" t="s">
        <v>285</v>
      </c>
      <c r="E1" s="43" t="s">
        <v>286</v>
      </c>
      <c r="F1" s="43" t="s">
        <v>287</v>
      </c>
      <c r="G1" s="42" t="s">
        <v>358</v>
      </c>
      <c r="H1" s="43" t="s">
        <v>359</v>
      </c>
      <c r="I1" s="43" t="s">
        <v>360</v>
      </c>
      <c r="J1" s="42" t="s">
        <v>460</v>
      </c>
      <c r="K1" s="43" t="s">
        <v>361</v>
      </c>
      <c r="L1" s="43" t="s">
        <v>362</v>
      </c>
      <c r="M1" s="43" t="s">
        <v>950</v>
      </c>
      <c r="N1" s="43" t="s">
        <v>951</v>
      </c>
      <c r="O1" s="44" t="s">
        <v>952</v>
      </c>
      <c r="P1" s="45" t="s">
        <v>953</v>
      </c>
      <c r="Q1" s="38" t="s">
        <v>954</v>
      </c>
      <c r="R1" s="42" t="s">
        <v>955</v>
      </c>
      <c r="S1" s="43" t="s">
        <v>956</v>
      </c>
      <c r="T1" s="43" t="s">
        <v>957</v>
      </c>
      <c r="U1" s="43" t="s">
        <v>1034</v>
      </c>
      <c r="V1" s="43" t="s">
        <v>958</v>
      </c>
      <c r="W1" s="44" t="s">
        <v>959</v>
      </c>
      <c r="X1" s="92"/>
      <c r="Y1" s="92"/>
      <c r="Z1" s="93"/>
      <c r="AA1" s="93"/>
      <c r="AB1" s="93"/>
      <c r="AC1" s="93"/>
      <c r="AD1" s="93"/>
      <c r="AE1" s="93"/>
      <c r="AF1" s="93"/>
      <c r="AG1" s="93"/>
      <c r="AH1" s="93"/>
    </row>
    <row r="2" spans="1:34" ht="62.5" x14ac:dyDescent="0.35">
      <c r="A2" s="133" t="s">
        <v>321</v>
      </c>
      <c r="B2" s="95" t="s">
        <v>1014</v>
      </c>
      <c r="C2" s="99"/>
      <c r="D2" s="26" t="s">
        <v>318</v>
      </c>
      <c r="E2" s="26" t="s">
        <v>314</v>
      </c>
      <c r="F2" s="26"/>
      <c r="G2" s="26" t="s">
        <v>726</v>
      </c>
      <c r="H2" s="26"/>
      <c r="I2" s="26" t="s">
        <v>369</v>
      </c>
      <c r="J2" s="26"/>
      <c r="K2" s="26"/>
      <c r="L2" s="26"/>
      <c r="M2" s="26" t="s">
        <v>758</v>
      </c>
      <c r="N2" s="26"/>
      <c r="O2" s="26"/>
      <c r="P2" s="26" t="s">
        <v>790</v>
      </c>
      <c r="Q2" s="26" t="s">
        <v>791</v>
      </c>
      <c r="R2" s="26" t="s">
        <v>792</v>
      </c>
      <c r="S2" s="26"/>
      <c r="T2" s="26"/>
      <c r="U2" s="26" t="s">
        <v>1036</v>
      </c>
      <c r="V2" s="26" t="s">
        <v>818</v>
      </c>
      <c r="W2" s="27" t="s">
        <v>819</v>
      </c>
      <c r="X2" s="13"/>
      <c r="Y2" s="13"/>
      <c r="Z2" s="6"/>
      <c r="AA2" s="6"/>
      <c r="AB2" s="6"/>
      <c r="AC2" s="6"/>
      <c r="AD2" s="6"/>
      <c r="AE2" s="6"/>
      <c r="AF2" s="6"/>
      <c r="AG2" s="6"/>
      <c r="AH2" s="6"/>
    </row>
    <row r="3" spans="1:34" ht="62.5" x14ac:dyDescent="0.35">
      <c r="A3" s="134"/>
      <c r="B3" s="96" t="s">
        <v>252</v>
      </c>
      <c r="C3" s="100" t="s">
        <v>724</v>
      </c>
      <c r="D3" s="25" t="s">
        <v>319</v>
      </c>
      <c r="E3" s="25" t="s">
        <v>290</v>
      </c>
      <c r="F3" s="25" t="s">
        <v>722</v>
      </c>
      <c r="G3" s="25" t="s">
        <v>727</v>
      </c>
      <c r="H3" s="25" t="s">
        <v>1061</v>
      </c>
      <c r="I3" s="25" t="s">
        <v>370</v>
      </c>
      <c r="J3" s="25"/>
      <c r="K3" s="25" t="s">
        <v>759</v>
      </c>
      <c r="L3" s="25" t="s">
        <v>760</v>
      </c>
      <c r="M3" s="25" t="s">
        <v>761</v>
      </c>
      <c r="N3" s="25"/>
      <c r="O3" s="25" t="s">
        <v>793</v>
      </c>
      <c r="P3" s="25" t="s">
        <v>794</v>
      </c>
      <c r="Q3" s="25" t="s">
        <v>795</v>
      </c>
      <c r="R3" s="25" t="s">
        <v>796</v>
      </c>
      <c r="S3" s="25" t="s">
        <v>820</v>
      </c>
      <c r="T3" s="25"/>
      <c r="U3" s="25" t="s">
        <v>1037</v>
      </c>
      <c r="V3" s="25" t="s">
        <v>821</v>
      </c>
      <c r="W3" s="28" t="s">
        <v>822</v>
      </c>
      <c r="X3" s="13"/>
      <c r="Y3" s="13"/>
      <c r="Z3" s="6"/>
      <c r="AA3" s="6"/>
      <c r="AB3" s="6"/>
      <c r="AC3" s="6"/>
      <c r="AD3" s="6"/>
      <c r="AE3" s="6"/>
      <c r="AF3" s="6"/>
      <c r="AG3" s="6"/>
      <c r="AH3" s="6"/>
    </row>
    <row r="4" spans="1:34" ht="50" x14ac:dyDescent="0.35">
      <c r="A4" s="134"/>
      <c r="B4" s="96" t="s">
        <v>264</v>
      </c>
      <c r="C4" s="100" t="s">
        <v>1020</v>
      </c>
      <c r="D4" s="25" t="s">
        <v>723</v>
      </c>
      <c r="E4" s="25" t="s">
        <v>291</v>
      </c>
      <c r="F4" s="25" t="s">
        <v>315</v>
      </c>
      <c r="G4" s="25" t="s">
        <v>728</v>
      </c>
      <c r="H4" s="25"/>
      <c r="I4" s="25" t="s">
        <v>1024</v>
      </c>
      <c r="J4" s="25" t="s">
        <v>757</v>
      </c>
      <c r="K4" s="25"/>
      <c r="L4" s="25"/>
      <c r="M4" s="25" t="s">
        <v>762</v>
      </c>
      <c r="N4" s="25" t="s">
        <v>763</v>
      </c>
      <c r="O4" s="25"/>
      <c r="P4" s="25" t="s">
        <v>704</v>
      </c>
      <c r="Q4" s="25" t="s">
        <v>797</v>
      </c>
      <c r="R4" s="25" t="s">
        <v>798</v>
      </c>
      <c r="S4" s="25" t="s">
        <v>823</v>
      </c>
      <c r="T4" s="25"/>
      <c r="U4" s="25" t="s">
        <v>1038</v>
      </c>
      <c r="V4" s="25"/>
      <c r="W4" s="28" t="s">
        <v>824</v>
      </c>
      <c r="X4" s="13"/>
      <c r="Y4" s="13"/>
      <c r="Z4" s="6"/>
      <c r="AA4" s="6"/>
      <c r="AB4" s="6"/>
      <c r="AC4" s="6"/>
      <c r="AD4" s="6"/>
      <c r="AE4" s="6"/>
      <c r="AF4" s="6"/>
      <c r="AG4" s="6"/>
      <c r="AH4" s="6"/>
    </row>
    <row r="5" spans="1:34" ht="62.5" x14ac:dyDescent="0.35">
      <c r="A5" s="134"/>
      <c r="B5" s="96" t="s">
        <v>1015</v>
      </c>
      <c r="C5" s="100" t="s">
        <v>725</v>
      </c>
      <c r="D5" s="25" t="s">
        <v>1021</v>
      </c>
      <c r="E5" s="25" t="s">
        <v>316</v>
      </c>
      <c r="F5" s="25"/>
      <c r="G5" s="25" t="s">
        <v>1009</v>
      </c>
      <c r="H5" s="25" t="s">
        <v>1062</v>
      </c>
      <c r="I5" s="25" t="s">
        <v>730</v>
      </c>
      <c r="J5" s="25"/>
      <c r="K5" s="25" t="s">
        <v>1026</v>
      </c>
      <c r="L5" s="25" t="s">
        <v>1027</v>
      </c>
      <c r="M5" s="25"/>
      <c r="N5" s="25" t="s">
        <v>764</v>
      </c>
      <c r="O5" s="25" t="s">
        <v>799</v>
      </c>
      <c r="P5" s="25" t="s">
        <v>800</v>
      </c>
      <c r="Q5" s="25" t="s">
        <v>801</v>
      </c>
      <c r="R5" s="25" t="s">
        <v>802</v>
      </c>
      <c r="S5" s="25" t="s">
        <v>825</v>
      </c>
      <c r="T5" s="25" t="s">
        <v>826</v>
      </c>
      <c r="U5" s="25" t="s">
        <v>1039</v>
      </c>
      <c r="V5" s="25" t="s">
        <v>827</v>
      </c>
      <c r="W5" s="28" t="s">
        <v>828</v>
      </c>
      <c r="X5" s="13"/>
      <c r="Y5" s="13"/>
      <c r="Z5" s="6"/>
      <c r="AA5" s="6"/>
      <c r="AB5" s="6"/>
      <c r="AC5" s="6"/>
      <c r="AD5" s="6"/>
      <c r="AE5" s="6"/>
      <c r="AF5" s="6"/>
      <c r="AG5" s="6"/>
      <c r="AH5" s="6"/>
    </row>
    <row r="6" spans="1:34" ht="63" thickBot="1" x14ac:dyDescent="0.4">
      <c r="A6" s="134"/>
      <c r="B6" s="97" t="s">
        <v>1016</v>
      </c>
      <c r="C6" s="101" t="s">
        <v>317</v>
      </c>
      <c r="D6" s="29" t="s">
        <v>850</v>
      </c>
      <c r="E6" s="29" t="s">
        <v>1022</v>
      </c>
      <c r="F6" s="29"/>
      <c r="G6" s="29" t="s">
        <v>729</v>
      </c>
      <c r="H6" s="29" t="s">
        <v>1023</v>
      </c>
      <c r="I6" s="29"/>
      <c r="J6" s="29"/>
      <c r="K6" s="29" t="s">
        <v>765</v>
      </c>
      <c r="L6" s="29" t="s">
        <v>766</v>
      </c>
      <c r="M6" s="29"/>
      <c r="N6" s="29" t="s">
        <v>767</v>
      </c>
      <c r="O6" s="29"/>
      <c r="P6" s="29"/>
      <c r="Q6" s="29" t="s">
        <v>1028</v>
      </c>
      <c r="R6" s="29" t="s">
        <v>803</v>
      </c>
      <c r="S6" s="29" t="s">
        <v>829</v>
      </c>
      <c r="T6" s="29" t="s">
        <v>830</v>
      </c>
      <c r="U6" s="29" t="s">
        <v>1040</v>
      </c>
      <c r="V6" s="29" t="s">
        <v>831</v>
      </c>
      <c r="W6" s="30" t="s">
        <v>832</v>
      </c>
      <c r="X6" s="13"/>
      <c r="Y6" s="13"/>
      <c r="Z6" s="6"/>
      <c r="AA6" s="6"/>
      <c r="AB6" s="6"/>
      <c r="AC6" s="6"/>
      <c r="AD6" s="6"/>
      <c r="AE6" s="6"/>
      <c r="AF6" s="6"/>
      <c r="AG6" s="6"/>
      <c r="AH6" s="6"/>
    </row>
    <row r="7" spans="1:34" ht="50" x14ac:dyDescent="0.35">
      <c r="A7" s="133" t="s">
        <v>687</v>
      </c>
      <c r="B7" s="31" t="s">
        <v>641</v>
      </c>
      <c r="C7" s="90" t="s">
        <v>691</v>
      </c>
      <c r="D7" s="79" t="s">
        <v>696</v>
      </c>
      <c r="E7" s="26" t="s">
        <v>692</v>
      </c>
      <c r="F7" s="26" t="s">
        <v>694</v>
      </c>
      <c r="G7" s="79" t="s">
        <v>695</v>
      </c>
      <c r="H7" s="26" t="s">
        <v>1002</v>
      </c>
      <c r="I7" s="26"/>
      <c r="J7" s="79" t="s">
        <v>1003</v>
      </c>
      <c r="K7" s="79" t="s">
        <v>716</v>
      </c>
      <c r="L7" s="26"/>
      <c r="M7" s="124" t="s">
        <v>1004</v>
      </c>
      <c r="N7" s="26" t="s">
        <v>703</v>
      </c>
      <c r="O7" s="79" t="s">
        <v>717</v>
      </c>
      <c r="P7" s="26" t="s">
        <v>702</v>
      </c>
      <c r="Q7" s="79" t="s">
        <v>708</v>
      </c>
      <c r="R7" s="79" t="s">
        <v>708</v>
      </c>
      <c r="S7" s="79" t="s">
        <v>960</v>
      </c>
      <c r="T7" s="26" t="s">
        <v>710</v>
      </c>
      <c r="U7" s="124" t="s">
        <v>1045</v>
      </c>
      <c r="V7" s="79" t="s">
        <v>713</v>
      </c>
      <c r="W7" s="81" t="s">
        <v>714</v>
      </c>
    </row>
    <row r="8" spans="1:34" ht="50" x14ac:dyDescent="0.35">
      <c r="A8" s="134"/>
      <c r="B8" s="33" t="s">
        <v>642</v>
      </c>
      <c r="C8" s="34"/>
      <c r="D8" s="80" t="s">
        <v>697</v>
      </c>
      <c r="E8" s="25" t="s">
        <v>693</v>
      </c>
      <c r="F8" s="25"/>
      <c r="G8" s="25"/>
      <c r="H8" s="80" t="s">
        <v>699</v>
      </c>
      <c r="I8" s="25"/>
      <c r="J8" s="80" t="s">
        <v>1006</v>
      </c>
      <c r="K8" s="25"/>
      <c r="L8" s="25"/>
      <c r="M8" s="80" t="s">
        <v>1005</v>
      </c>
      <c r="N8" s="25" t="s">
        <v>704</v>
      </c>
      <c r="O8" s="25"/>
      <c r="P8" s="25" t="s">
        <v>701</v>
      </c>
      <c r="Q8" s="80" t="s">
        <v>709</v>
      </c>
      <c r="R8" s="25"/>
      <c r="S8" s="80" t="s">
        <v>711</v>
      </c>
      <c r="T8" s="25"/>
      <c r="U8" s="25"/>
      <c r="V8" s="80" t="s">
        <v>1007</v>
      </c>
      <c r="W8" s="112" t="s">
        <v>712</v>
      </c>
    </row>
    <row r="9" spans="1:34" ht="38" thickBot="1" x14ac:dyDescent="0.4">
      <c r="A9" s="136"/>
      <c r="B9" s="35" t="s">
        <v>592</v>
      </c>
      <c r="C9" s="122" t="s">
        <v>1064</v>
      </c>
      <c r="D9" s="29"/>
      <c r="E9" s="29" t="s">
        <v>350</v>
      </c>
      <c r="F9" s="123" t="s">
        <v>1065</v>
      </c>
      <c r="G9" s="29"/>
      <c r="H9" s="29"/>
      <c r="I9" s="29"/>
      <c r="J9" s="29"/>
      <c r="K9" s="29"/>
      <c r="L9" s="29" t="s">
        <v>700</v>
      </c>
      <c r="M9" s="29" t="s">
        <v>351</v>
      </c>
      <c r="N9" s="29" t="s">
        <v>416</v>
      </c>
      <c r="O9" s="123" t="s">
        <v>396</v>
      </c>
      <c r="P9" s="29" t="s">
        <v>444</v>
      </c>
      <c r="Q9" s="29"/>
      <c r="R9" s="123" t="s">
        <v>718</v>
      </c>
      <c r="S9" s="29" t="s">
        <v>961</v>
      </c>
      <c r="T9" s="29"/>
      <c r="U9" s="29" t="s">
        <v>1035</v>
      </c>
      <c r="V9" s="29"/>
      <c r="W9" s="30"/>
    </row>
    <row r="10" spans="1:34" ht="37.5" x14ac:dyDescent="0.35">
      <c r="A10" s="134" t="s">
        <v>688</v>
      </c>
      <c r="B10" s="31" t="s">
        <v>259</v>
      </c>
      <c r="C10" s="32" t="s">
        <v>965</v>
      </c>
      <c r="D10" s="26" t="s">
        <v>721</v>
      </c>
      <c r="E10" s="26" t="s">
        <v>968</v>
      </c>
      <c r="F10" s="26" t="s">
        <v>969</v>
      </c>
      <c r="G10" s="26" t="s">
        <v>970</v>
      </c>
      <c r="H10" s="26" t="s">
        <v>971</v>
      </c>
      <c r="I10" s="26" t="s">
        <v>981</v>
      </c>
      <c r="J10" s="26" t="s">
        <v>972</v>
      </c>
      <c r="K10" s="26"/>
      <c r="L10" s="26" t="s">
        <v>977</v>
      </c>
      <c r="M10" s="26" t="s">
        <v>705</v>
      </c>
      <c r="N10" s="26" t="s">
        <v>441</v>
      </c>
      <c r="O10" s="26" t="s">
        <v>415</v>
      </c>
      <c r="P10" s="26" t="s">
        <v>988</v>
      </c>
      <c r="Q10" s="26" t="s">
        <v>715</v>
      </c>
      <c r="R10" s="26" t="s">
        <v>395</v>
      </c>
      <c r="S10" s="26" t="s">
        <v>989</v>
      </c>
      <c r="T10" s="26"/>
      <c r="U10" s="26" t="s">
        <v>1046</v>
      </c>
      <c r="V10" s="26" t="s">
        <v>990</v>
      </c>
      <c r="W10" s="27"/>
    </row>
    <row r="11" spans="1:34" ht="62.5" x14ac:dyDescent="0.35">
      <c r="A11" s="134"/>
      <c r="B11" s="113" t="s">
        <v>962</v>
      </c>
      <c r="C11" s="114" t="s">
        <v>966</v>
      </c>
      <c r="D11" s="115"/>
      <c r="E11" s="115" t="s">
        <v>689</v>
      </c>
      <c r="F11" s="115"/>
      <c r="G11" s="115"/>
      <c r="H11" s="115"/>
      <c r="I11" s="115"/>
      <c r="J11" s="115" t="s">
        <v>973</v>
      </c>
      <c r="K11" s="115"/>
      <c r="L11" s="115"/>
      <c r="M11" s="115" t="s">
        <v>983</v>
      </c>
      <c r="N11" s="115" t="s">
        <v>984</v>
      </c>
      <c r="O11" s="115"/>
      <c r="P11" s="115" t="s">
        <v>987</v>
      </c>
      <c r="Q11" s="115"/>
      <c r="R11" s="116"/>
      <c r="S11" s="115"/>
      <c r="T11" s="115"/>
      <c r="U11" s="115"/>
      <c r="V11" s="115" t="s">
        <v>966</v>
      </c>
      <c r="W11" s="117"/>
    </row>
    <row r="12" spans="1:34" ht="50" x14ac:dyDescent="0.35">
      <c r="A12" s="134"/>
      <c r="B12" s="33" t="s">
        <v>963</v>
      </c>
      <c r="C12" s="34"/>
      <c r="D12" s="25"/>
      <c r="E12" s="25" t="s">
        <v>978</v>
      </c>
      <c r="F12" s="25" t="s">
        <v>979</v>
      </c>
      <c r="G12" s="25"/>
      <c r="H12" s="25" t="s">
        <v>690</v>
      </c>
      <c r="I12" s="25" t="s">
        <v>982</v>
      </c>
      <c r="J12" s="25" t="s">
        <v>974</v>
      </c>
      <c r="K12" s="25" t="s">
        <v>976</v>
      </c>
      <c r="L12" s="151"/>
      <c r="M12" s="25"/>
      <c r="N12" s="25"/>
      <c r="O12" s="25"/>
      <c r="P12" s="25" t="s">
        <v>985</v>
      </c>
      <c r="Q12" s="25"/>
      <c r="R12" s="110"/>
      <c r="S12" s="25" t="s">
        <v>258</v>
      </c>
      <c r="T12" s="25"/>
      <c r="U12" s="25" t="s">
        <v>1047</v>
      </c>
      <c r="V12" s="25" t="s">
        <v>991</v>
      </c>
      <c r="W12" s="28" t="s">
        <v>1008</v>
      </c>
    </row>
    <row r="13" spans="1:34" ht="23.5" customHeight="1" thickBot="1" x14ac:dyDescent="0.4">
      <c r="A13" s="136"/>
      <c r="B13" s="35" t="s">
        <v>964</v>
      </c>
      <c r="C13" s="36"/>
      <c r="D13" s="29"/>
      <c r="E13" s="29" t="s">
        <v>967</v>
      </c>
      <c r="F13" s="152"/>
      <c r="G13" s="29"/>
      <c r="H13" s="29" t="s">
        <v>980</v>
      </c>
      <c r="I13" s="29"/>
      <c r="J13" s="29" t="s">
        <v>975</v>
      </c>
      <c r="K13" s="29"/>
      <c r="L13" s="29"/>
      <c r="M13" s="29"/>
      <c r="N13" s="29" t="s">
        <v>964</v>
      </c>
      <c r="O13" s="29"/>
      <c r="P13" s="29" t="s">
        <v>986</v>
      </c>
      <c r="Q13" s="29"/>
      <c r="R13" s="29"/>
      <c r="S13" s="29"/>
      <c r="T13" s="29"/>
      <c r="U13" s="29"/>
      <c r="V13" s="29" t="s">
        <v>992</v>
      </c>
      <c r="W13" s="30"/>
    </row>
    <row r="14" spans="1:34" x14ac:dyDescent="0.35">
      <c r="I14" s="6"/>
      <c r="J14" s="6"/>
      <c r="K14" s="6"/>
      <c r="L14" s="6"/>
      <c r="O14" s="14"/>
      <c r="P14" s="14"/>
      <c r="Q14"/>
      <c r="R14"/>
      <c r="S14"/>
      <c r="T14"/>
      <c r="U14"/>
      <c r="V14"/>
    </row>
    <row r="15" spans="1:34" x14ac:dyDescent="0.35">
      <c r="I15" s="6"/>
      <c r="J15" s="6"/>
      <c r="K15" s="6"/>
      <c r="L15" s="6"/>
      <c r="O15" s="14"/>
      <c r="P15" s="14"/>
      <c r="Q15"/>
      <c r="R15"/>
      <c r="S15"/>
      <c r="T15"/>
      <c r="U15"/>
      <c r="V15"/>
    </row>
    <row r="16" spans="1:34" x14ac:dyDescent="0.35">
      <c r="I16" s="6"/>
      <c r="J16" s="6"/>
      <c r="K16" s="6"/>
      <c r="L16" s="6"/>
      <c r="O16" s="14"/>
      <c r="P16" s="14"/>
      <c r="Q16"/>
      <c r="R16"/>
      <c r="S16"/>
      <c r="T16"/>
      <c r="U16"/>
      <c r="V16"/>
    </row>
    <row r="17" spans="9:22" x14ac:dyDescent="0.35">
      <c r="I17" s="6"/>
      <c r="J17" s="6"/>
      <c r="K17" s="6"/>
      <c r="L17" s="6"/>
      <c r="O17" s="14"/>
      <c r="P17" s="14"/>
      <c r="Q17"/>
      <c r="R17"/>
      <c r="S17"/>
      <c r="T17"/>
      <c r="U17"/>
      <c r="V17"/>
    </row>
    <row r="18" spans="9:22" x14ac:dyDescent="0.35">
      <c r="I18" s="6"/>
      <c r="J18" s="6"/>
      <c r="K18" s="6"/>
      <c r="L18" s="6"/>
      <c r="O18" s="14"/>
      <c r="P18" s="14"/>
      <c r="Q18"/>
      <c r="R18"/>
      <c r="S18"/>
      <c r="T18"/>
      <c r="U18"/>
      <c r="V18"/>
    </row>
    <row r="19" spans="9:22" x14ac:dyDescent="0.35">
      <c r="I19" s="6"/>
      <c r="J19" s="6"/>
      <c r="K19" s="6"/>
      <c r="L19" s="6"/>
      <c r="O19" s="14"/>
      <c r="P19" s="14"/>
      <c r="Q19"/>
      <c r="R19"/>
      <c r="S19"/>
      <c r="T19"/>
      <c r="U19"/>
      <c r="V19"/>
    </row>
    <row r="20" spans="9:22" x14ac:dyDescent="0.35">
      <c r="I20" s="6"/>
      <c r="J20" s="6"/>
      <c r="K20" s="6"/>
      <c r="L20" s="6"/>
      <c r="O20" s="14"/>
      <c r="P20" s="14"/>
      <c r="Q20"/>
      <c r="R20"/>
      <c r="S20"/>
      <c r="T20"/>
      <c r="U20"/>
      <c r="V20"/>
    </row>
    <row r="21" spans="9:22" x14ac:dyDescent="0.35">
      <c r="K21" s="6"/>
      <c r="L21" s="6"/>
      <c r="Q21" s="14"/>
      <c r="R21" s="14"/>
      <c r="S21"/>
      <c r="T21"/>
      <c r="U21"/>
      <c r="V21"/>
    </row>
    <row r="22" spans="9:22" x14ac:dyDescent="0.35">
      <c r="K22" s="6"/>
      <c r="L22" s="6"/>
      <c r="Q22" s="14"/>
      <c r="R22" s="14"/>
      <c r="S22"/>
      <c r="T22"/>
      <c r="U22"/>
      <c r="V22"/>
    </row>
    <row r="23" spans="9:22" x14ac:dyDescent="0.35">
      <c r="S23" s="14"/>
      <c r="T23" s="14"/>
      <c r="U23" s="14"/>
      <c r="V23" s="14"/>
    </row>
  </sheetData>
  <mergeCells count="3">
    <mergeCell ref="A2:A6"/>
    <mergeCell ref="A7:A9"/>
    <mergeCell ref="A10:A13"/>
  </mergeCells>
  <pageMargins left="0.7" right="0.7" top="0.78740157499999996" bottom="0.78740157499999996" header="0.3" footer="0.3"/>
  <pageSetup paperSize="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2F3E-D1CE-4B93-B6DF-12C89A233AC2}">
  <dimension ref="A1:R16"/>
  <sheetViews>
    <sheetView zoomScale="84" workbookViewId="0">
      <selection activeCell="L1" sqref="L1:R7"/>
    </sheetView>
  </sheetViews>
  <sheetFormatPr baseColWidth="10" defaultRowHeight="14.5" x14ac:dyDescent="0.35"/>
  <cols>
    <col min="1" max="1" width="32.453125" customWidth="1"/>
    <col min="2" max="2" width="44" customWidth="1"/>
    <col min="4" max="4" width="23.6328125" customWidth="1"/>
    <col min="6" max="6" width="32.36328125" customWidth="1"/>
    <col min="8" max="8" width="21.36328125" customWidth="1"/>
    <col min="9" max="9" width="15.1796875" customWidth="1"/>
    <col min="10" max="10" width="24" customWidth="1"/>
    <col min="12" max="12" width="17.36328125" customWidth="1"/>
    <col min="13" max="13" width="26.6328125" customWidth="1"/>
    <col min="17" max="17" width="15.36328125" customWidth="1"/>
    <col min="18" max="18" width="19" customWidth="1"/>
  </cols>
  <sheetData>
    <row r="1" spans="1:18" ht="29" x14ac:dyDescent="0.35">
      <c r="A1" s="65" t="s">
        <v>638</v>
      </c>
      <c r="B1" s="65" t="s">
        <v>587</v>
      </c>
      <c r="D1" s="65" t="s">
        <v>610</v>
      </c>
      <c r="E1" s="65" t="s">
        <v>611</v>
      </c>
      <c r="F1" s="65" t="s">
        <v>612</v>
      </c>
      <c r="G1" s="13"/>
      <c r="H1" s="65" t="s">
        <v>529</v>
      </c>
      <c r="I1" s="65" t="s">
        <v>611</v>
      </c>
      <c r="J1" s="65" t="s">
        <v>612</v>
      </c>
      <c r="K1" s="13"/>
      <c r="L1" s="50" t="s">
        <v>639</v>
      </c>
      <c r="M1" s="50" t="s">
        <v>640</v>
      </c>
      <c r="N1" s="50" t="s">
        <v>602</v>
      </c>
      <c r="O1" s="50" t="s">
        <v>598</v>
      </c>
      <c r="P1" s="50" t="s">
        <v>604</v>
      </c>
      <c r="Q1" s="50" t="s">
        <v>606</v>
      </c>
      <c r="R1" s="50" t="s">
        <v>627</v>
      </c>
    </row>
    <row r="2" spans="1:18" ht="29" x14ac:dyDescent="0.35">
      <c r="A2" s="66" t="s">
        <v>588</v>
      </c>
      <c r="B2" s="66" t="s">
        <v>609</v>
      </c>
      <c r="D2" s="66" t="s">
        <v>613</v>
      </c>
      <c r="E2" s="66" t="s">
        <v>670</v>
      </c>
      <c r="F2" s="66" t="s">
        <v>671</v>
      </c>
      <c r="H2" s="66" t="s">
        <v>600</v>
      </c>
      <c r="I2" s="66" t="s">
        <v>633</v>
      </c>
      <c r="J2" s="66" t="s">
        <v>676</v>
      </c>
      <c r="L2" s="70" t="s">
        <v>641</v>
      </c>
      <c r="M2" s="71">
        <v>13</v>
      </c>
      <c r="N2" s="71">
        <v>9</v>
      </c>
      <c r="O2" s="71">
        <v>8</v>
      </c>
      <c r="P2" s="71">
        <v>6</v>
      </c>
      <c r="Q2" s="71">
        <v>7</v>
      </c>
      <c r="R2" s="71">
        <v>5</v>
      </c>
    </row>
    <row r="3" spans="1:18" ht="43.5" x14ac:dyDescent="0.35">
      <c r="A3" s="66" t="s">
        <v>589</v>
      </c>
      <c r="B3" s="66" t="s">
        <v>590</v>
      </c>
      <c r="D3" s="66" t="s">
        <v>615</v>
      </c>
      <c r="E3" s="66" t="s">
        <v>614</v>
      </c>
      <c r="F3" s="66" t="s">
        <v>679</v>
      </c>
      <c r="H3" s="66" t="s">
        <v>604</v>
      </c>
      <c r="I3" s="66" t="s">
        <v>616</v>
      </c>
      <c r="J3" s="66" t="s">
        <v>677</v>
      </c>
      <c r="L3" s="70" t="s">
        <v>642</v>
      </c>
      <c r="M3" s="71">
        <v>10</v>
      </c>
      <c r="N3" s="71">
        <v>6</v>
      </c>
      <c r="O3" s="71">
        <v>5</v>
      </c>
      <c r="P3" s="71">
        <v>3</v>
      </c>
      <c r="Q3" s="71">
        <v>2</v>
      </c>
      <c r="R3" s="71">
        <v>3</v>
      </c>
    </row>
    <row r="4" spans="1:18" ht="29" x14ac:dyDescent="0.35">
      <c r="A4" s="66" t="s">
        <v>591</v>
      </c>
      <c r="B4" s="66" t="s">
        <v>592</v>
      </c>
      <c r="D4" s="66" t="s">
        <v>592</v>
      </c>
      <c r="E4" s="66" t="s">
        <v>616</v>
      </c>
      <c r="F4" s="66" t="s">
        <v>617</v>
      </c>
      <c r="H4" s="66" t="s">
        <v>634</v>
      </c>
      <c r="I4" s="66" t="s">
        <v>616</v>
      </c>
      <c r="J4" s="66" t="s">
        <v>635</v>
      </c>
      <c r="L4" s="70" t="s">
        <v>592</v>
      </c>
      <c r="M4" s="71">
        <v>6</v>
      </c>
      <c r="N4" s="71">
        <v>5</v>
      </c>
      <c r="O4" s="71">
        <v>4</v>
      </c>
      <c r="P4" s="71">
        <v>2</v>
      </c>
      <c r="Q4" s="71">
        <v>1</v>
      </c>
      <c r="R4" s="71">
        <v>1</v>
      </c>
    </row>
    <row r="5" spans="1:18" ht="43.5" x14ac:dyDescent="0.35">
      <c r="A5" s="66" t="s">
        <v>593</v>
      </c>
      <c r="B5" s="66" t="s">
        <v>594</v>
      </c>
      <c r="H5" s="66" t="s">
        <v>636</v>
      </c>
      <c r="I5" s="66" t="s">
        <v>622</v>
      </c>
      <c r="J5" s="66" t="s">
        <v>678</v>
      </c>
      <c r="L5" s="70" t="s">
        <v>590</v>
      </c>
      <c r="M5" s="71">
        <v>10</v>
      </c>
      <c r="N5" s="71">
        <v>7</v>
      </c>
      <c r="O5" s="71">
        <v>4</v>
      </c>
      <c r="P5" s="71">
        <v>1</v>
      </c>
      <c r="Q5" s="71">
        <v>4</v>
      </c>
      <c r="R5" s="71">
        <v>3</v>
      </c>
    </row>
    <row r="6" spans="1:18" ht="29" x14ac:dyDescent="0.35">
      <c r="A6" s="66" t="s">
        <v>595</v>
      </c>
      <c r="B6" s="66" t="s">
        <v>596</v>
      </c>
      <c r="D6" s="69" t="s">
        <v>618</v>
      </c>
      <c r="E6" s="69" t="s">
        <v>611</v>
      </c>
      <c r="F6" s="69" t="s">
        <v>612</v>
      </c>
      <c r="H6" s="66" t="s">
        <v>637</v>
      </c>
      <c r="I6" s="66" t="s">
        <v>622</v>
      </c>
      <c r="J6" s="66" t="s">
        <v>680</v>
      </c>
      <c r="L6" s="70" t="s">
        <v>643</v>
      </c>
      <c r="M6" s="71">
        <v>7</v>
      </c>
      <c r="N6" s="71">
        <v>5</v>
      </c>
      <c r="O6" s="71">
        <v>4</v>
      </c>
      <c r="P6" s="71">
        <v>3</v>
      </c>
      <c r="Q6" s="71">
        <v>3</v>
      </c>
      <c r="R6" s="71">
        <v>1</v>
      </c>
    </row>
    <row r="7" spans="1:18" ht="43.5" x14ac:dyDescent="0.35">
      <c r="A7" s="66" t="s">
        <v>597</v>
      </c>
      <c r="B7" s="66" t="s">
        <v>598</v>
      </c>
      <c r="D7" s="66" t="s">
        <v>619</v>
      </c>
      <c r="E7" s="66" t="s">
        <v>614</v>
      </c>
      <c r="F7" s="66" t="s">
        <v>620</v>
      </c>
      <c r="L7" s="72" t="s">
        <v>332</v>
      </c>
      <c r="M7" s="73">
        <v>4</v>
      </c>
      <c r="N7" s="73">
        <v>2</v>
      </c>
      <c r="O7" s="73">
        <v>1</v>
      </c>
      <c r="P7" s="73">
        <v>1</v>
      </c>
      <c r="Q7" s="73">
        <v>1</v>
      </c>
      <c r="R7" s="73">
        <v>1</v>
      </c>
    </row>
    <row r="8" spans="1:18" ht="29" x14ac:dyDescent="0.35">
      <c r="A8" s="66" t="s">
        <v>599</v>
      </c>
      <c r="B8" s="66" t="s">
        <v>600</v>
      </c>
      <c r="D8" s="66" t="s">
        <v>621</v>
      </c>
      <c r="E8" s="66" t="s">
        <v>633</v>
      </c>
      <c r="F8" s="66" t="s">
        <v>672</v>
      </c>
      <c r="H8" s="65" t="s">
        <v>628</v>
      </c>
      <c r="I8" s="65" t="s">
        <v>611</v>
      </c>
    </row>
    <row r="9" spans="1:18" ht="29" x14ac:dyDescent="0.35">
      <c r="A9" s="66" t="s">
        <v>601</v>
      </c>
      <c r="B9" s="66" t="s">
        <v>602</v>
      </c>
      <c r="D9" s="66" t="s">
        <v>332</v>
      </c>
      <c r="E9" s="66" t="s">
        <v>622</v>
      </c>
      <c r="F9" s="66" t="s">
        <v>623</v>
      </c>
      <c r="H9" s="71">
        <v>2021</v>
      </c>
      <c r="I9" s="66" t="s">
        <v>629</v>
      </c>
    </row>
    <row r="10" spans="1:18" ht="43.5" x14ac:dyDescent="0.35">
      <c r="A10" s="66" t="s">
        <v>603</v>
      </c>
      <c r="B10" s="66" t="s">
        <v>604</v>
      </c>
      <c r="H10" s="71">
        <v>2022</v>
      </c>
      <c r="I10" s="66" t="s">
        <v>630</v>
      </c>
    </row>
    <row r="11" spans="1:18" ht="29" x14ac:dyDescent="0.35">
      <c r="A11" s="66" t="s">
        <v>605</v>
      </c>
      <c r="B11" s="66" t="s">
        <v>606</v>
      </c>
      <c r="D11" s="69" t="s">
        <v>624</v>
      </c>
      <c r="E11" s="69" t="s">
        <v>611</v>
      </c>
      <c r="F11" s="69" t="s">
        <v>612</v>
      </c>
      <c r="H11" s="71">
        <v>2023</v>
      </c>
      <c r="I11" s="66" t="s">
        <v>631</v>
      </c>
    </row>
    <row r="12" spans="1:18" ht="43.5" x14ac:dyDescent="0.35">
      <c r="A12" s="49" t="s">
        <v>607</v>
      </c>
      <c r="B12" s="49" t="s">
        <v>608</v>
      </c>
      <c r="D12" s="66" t="s">
        <v>608</v>
      </c>
      <c r="E12" s="66" t="s">
        <v>673</v>
      </c>
      <c r="F12" s="66" t="s">
        <v>675</v>
      </c>
      <c r="H12" s="71">
        <v>2024</v>
      </c>
      <c r="I12" s="66" t="s">
        <v>685</v>
      </c>
    </row>
    <row r="13" spans="1:18" ht="43.5" x14ac:dyDescent="0.35">
      <c r="D13" s="66" t="s">
        <v>602</v>
      </c>
      <c r="E13" s="66" t="s">
        <v>674</v>
      </c>
      <c r="F13" s="66" t="s">
        <v>681</v>
      </c>
      <c r="H13" s="71">
        <v>2025</v>
      </c>
      <c r="I13" s="66" t="s">
        <v>686</v>
      </c>
    </row>
    <row r="14" spans="1:18" x14ac:dyDescent="0.35">
      <c r="D14" s="66" t="s">
        <v>598</v>
      </c>
      <c r="E14" s="66" t="s">
        <v>670</v>
      </c>
      <c r="F14" s="66" t="s">
        <v>682</v>
      </c>
    </row>
    <row r="15" spans="1:18" ht="29" x14ac:dyDescent="0.35">
      <c r="D15" s="49" t="s">
        <v>625</v>
      </c>
      <c r="E15" s="74" t="s">
        <v>633</v>
      </c>
      <c r="F15" s="74" t="s">
        <v>683</v>
      </c>
    </row>
    <row r="16" spans="1:18" x14ac:dyDescent="0.35">
      <c r="D16" s="66" t="s">
        <v>627</v>
      </c>
      <c r="E16" s="66" t="s">
        <v>626</v>
      </c>
      <c r="F16" s="66" t="s">
        <v>684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4</vt:i4>
      </vt:variant>
    </vt:vector>
  </HeadingPairs>
  <TitlesOfParts>
    <vt:vector size="19" baseType="lpstr">
      <vt:lpstr>Übersicht</vt:lpstr>
      <vt:lpstr>Übersicht 2.0</vt:lpstr>
      <vt:lpstr>AuswertungTabelle</vt:lpstr>
      <vt:lpstr>Strukturierte Übersicht</vt:lpstr>
      <vt:lpstr>Mapping</vt:lpstr>
      <vt:lpstr>Bereich</vt:lpstr>
      <vt:lpstr>Extraktion</vt:lpstr>
      <vt:lpstr>RQ1</vt:lpstr>
      <vt:lpstr>RQ2</vt:lpstr>
      <vt:lpstr>RQ2 (2)</vt:lpstr>
      <vt:lpstr>Zeitplan</vt:lpstr>
      <vt:lpstr>RQ3</vt:lpstr>
      <vt:lpstr>Allgemeine Infos</vt:lpstr>
      <vt:lpstr>Mapping RQ1 und RQ2</vt:lpstr>
      <vt:lpstr>Quantitative Analyse</vt:lpstr>
      <vt:lpstr>Extraktion!Druckbereich</vt:lpstr>
      <vt:lpstr>'Mapping RQ1 und RQ2'!Druckbereich</vt:lpstr>
      <vt:lpstr>'RQ1'!Druckbereich</vt:lpstr>
      <vt:lpstr>'RQ2 (2)'!Druckbereich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Arnold Nils (BD/DIA-MCS)</dc:creator>
  <cp:lastModifiedBy>FIXED-TERM Arnold Nils (BD/DIA-MCS)</cp:lastModifiedBy>
  <cp:lastPrinted>2025-11-20T07:55:05Z</cp:lastPrinted>
  <dcterms:created xsi:type="dcterms:W3CDTF">2025-11-05T09:36:11Z</dcterms:created>
  <dcterms:modified xsi:type="dcterms:W3CDTF">2025-12-11T09:58:09Z</dcterms:modified>
</cp:coreProperties>
</file>