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5BADDE5A-316A-CA40-867C-F5A5795F0F64}" xr6:coauthVersionLast="47" xr6:coauthVersionMax="47" xr10:uidLastSave="{00000000-0000-0000-0000-000000000000}"/>
  <bookViews>
    <workbookView xWindow="0" yWindow="0" windowWidth="28800" windowHeight="18000" activeTab="14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Tabelle1" sheetId="19" r:id="rId15"/>
    <sheet name="Quantitative Analyse" sheetId="13" state="hidden" r:id="rId16"/>
  </sheets>
  <definedNames>
    <definedName name="_xlnm.Print_Area" localSheetId="6">Extraktion!$A$1:$V$8</definedName>
    <definedName name="_xlnm.Print_Area" localSheetId="13">'Mapping RQ1 und RQ2'!$A$1:$W$6</definedName>
    <definedName name="_xlnm.Print_Area" localSheetId="7">'RQ1'!$A$1:$W$11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<sst xmlns="http://schemas.openxmlformats.org/spreadsheetml/2006/main" count="2071" uniqueCount="1131">
  <si>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</si>
  <si>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</si>
  <si>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</si>
  <si>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</si>
  <si>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</si>
  <si>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</si>
  <si>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</si>
  <si>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</si>
  <si>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</si>
  <si>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</si>
  <si>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</si>
  <si>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</si>
  <si>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</si>
  <si>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</si>
  <si>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</si>
  <si>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</si>
  <si>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</si>
  <si>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</si>
  <si>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</si>
  <si>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</si>
  <si>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</si>
  <si>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</si>
  <si>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</si>
  <si>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</si>
  <si>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</si>
  <si>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</si>
  <si>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</si>
  <si>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</si>
  <si>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</si>
  <si>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</si>
  <si>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</si>
  <si>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</si>
  <si>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</si>
  <si>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</si>
  <si>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</si>
  <si>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</si>
  <si>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</si>
  <si>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</si>
  <si>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</si>
  <si>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</si>
  <si>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</si>
  <si>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</si>
  <si>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</si>
  <si>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</si>
  <si>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</si>
  <si>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</si>
  <si>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</si>
  <si>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</si>
  <si>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</si>
  <si>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</si>
  <si>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</si>
  <si>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</si>
  <si>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</si>
  <si>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</si>
  <si>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</si>
  <si>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</si>
  <si>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</si>
  <si>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</si>
  <si>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</si>
  <si>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</si>
  <si>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</si>
  <si>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</si>
  <si>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</si>
  <si>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</si>
  <si>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</si>
  <si>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</si>
  <si>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</si>
  <si>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</si>
  <si>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</si>
  <si>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</si>
  <si>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</si>
  <si>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</si>
  <si>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</si>
  <si>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</si>
  <si>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</si>
  <si>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</si>
  <si>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</si>
  <si>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</si>
  <si>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</si>
  <si>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</si>
  <si>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</si>
  <si>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</si>
  <si>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</si>
  <si>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</si>
  <si>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</si>
  <si>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</si>
  <si>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</si>
  <si>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</si>
  <si>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</si>
  <si>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</si>
  <si>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</si>
  <si>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</si>
  <si>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</si>
  <si>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</si>
  <si>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</si>
  <si>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</si>
  <si>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</si>
  <si>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</si>
  <si>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</si>
  <si>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</si>
  <si>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</si>
  <si>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</si>
  <si>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</si>
  <si>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</si>
  <si>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</si>
  <si>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</si>
  <si>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</si>
  <si>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</si>
  <si>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</si>
  <si>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</si>
  <si>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</si>
  <si>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</si>
  <si>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</si>
  <si>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</si>
  <si>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</si>
  <si>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</si>
  <si>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</si>
  <si>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</si>
  <si>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</si>
  <si>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</si>
  <si>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</si>
  <si>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</si>
  <si>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</si>
  <si>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</si>
  <si>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</si>
  <si>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</si>
  <si>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</si>
  <si>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</si>
  <si>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</si>
  <si>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</si>
  <si>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</si>
  <si>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</si>
  <si>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</si>
  <si>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</si>
  <si>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</si>
  <si>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</si>
  <si>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</si>
  <si>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</si>
  <si>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</si>
  <si>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</si>
  <si>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</si>
  <si>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</si>
  <si>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</si>
  <si>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</si>
  <si>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</si>
  <si>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</si>
  <si>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</si>
  <si>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</si>
  <si>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</si>
  <si>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</si>
  <si>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</si>
  <si>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</si>
  <si>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</si>
  <si>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</si>
  <si>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</si>
  <si>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</si>
  <si>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</si>
  <si>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</si>
  <si>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</si>
  <si>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</si>
  <si>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</si>
  <si>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</si>
  <si>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</si>
  <si>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</si>
  <si>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</si>
  <si>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</si>
  <si>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</si>
  <si>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</si>
  <si>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</si>
  <si>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</si>
  <si>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</si>
  <si>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</si>
  <si>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</si>
  <si>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</si>
  <si>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</si>
  <si>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</si>
  <si>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</si>
  <si>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</si>
  <si>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</si>
  <si>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</si>
  <si>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</si>
  <si>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</si>
  <si>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</si>
  <si>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</si>
  <si>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</si>
  <si>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</si>
  <si>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</si>
  <si>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</si>
  <si>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</si>
  <si>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</si>
  <si>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</si>
  <si>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</si>
  <si>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</si>
  <si>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</si>
  <si>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</si>
  <si>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</si>
  <si>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</si>
  <si>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</si>
  <si>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</si>
  <si>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</si>
  <si>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</si>
  <si>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</si>
  <si>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</si>
  <si>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</si>
  <si>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</si>
  <si>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</si>
  <si>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</si>
  <si>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</si>
  <si>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</si>
  <si>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</si>
  <si>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</si>
  <si>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</si>
  <si>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</si>
  <si>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</si>
  <si>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</si>
  <si>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</si>
  <si>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</si>
  <si>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</si>
  <si>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</si>
  <si>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</si>
  <si>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</si>
  <si>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</si>
  <si>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</si>
  <si>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</si>
  <si>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</si>
  <si>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</si>
  <si>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</si>
  <si>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</si>
  <si>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</si>
  <si>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</si>
  <si>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</si>
  <si>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</si>
  <si>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</si>
  <si>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</si>
  <si>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</si>
  <si>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</si>
  <si>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</si>
  <si>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</si>
  <si>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</si>
  <si>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</si>
  <si>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</si>
  <si>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</si>
  <si>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</si>
  <si>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</si>
  <si>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</si>
  <si>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</si>
  <si>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</si>
  <si>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</si>
  <si>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</si>
  <si>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</si>
  <si>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</si>
  <si>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</si>
  <si>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</si>
  <si>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</si>
  <si>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</si>
  <si>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</si>
  <si>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</si>
  <si>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</si>
  <si>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</si>
  <si>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</si>
  <si>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</si>
  <si>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</si>
  <si>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</si>
  <si>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</si>
  <si>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</si>
  <si>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</si>
  <si>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</si>
  <si>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</si>
  <si>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</si>
  <si>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</si>
  <si>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</si>
  <si>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</si>
  <si>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</si>
  <si>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</si>
  <si>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</si>
  <si>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</si>
  <si>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</si>
  <si>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</si>
  <si>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</si>
  <si>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</si>
  <si>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</si>
  <si>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</si>
  <si>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</si>
  <si>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</si>
  <si>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</si>
  <si>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</si>
  <si>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</si>
  <si>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</si>
  <si>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</si>
  <si>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</si>
  <si>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</si>
  <si>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</si>
  <si>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</si>
  <si>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</si>
  <si>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</si>
  <si>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</si>
  <si>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</si>
  <si>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</si>
  <si>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</si>
  <si>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</si>
  <si>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</si>
  <si>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</si>
  <si>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</si>
  <si>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</si>
  <si>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</si>
  <si>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</si>
  <si>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</si>
  <si>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</si>
  <si>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</si>
  <si>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</si>
  <si>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</si>
  <si>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</si>
  <si>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</si>
  <si>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</si>
  <si>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</si>
  <si>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</si>
  <si>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</si>
  <si>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</si>
  <si>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</si>
  <si>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</si>
  <si>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</si>
  <si>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</si>
  <si>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</si>
  <si>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</si>
  <si>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</si>
  <si>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</si>
  <si>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</si>
  <si>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</si>
  <si>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</si>
  <si>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</si>
  <si>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</si>
  <si>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</si>
  <si>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</si>
  <si>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</si>
  <si>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</si>
  <si>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</si>
  <si>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</si>
  <si>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</si>
  <si>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</si>
  <si>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</si>
  <si>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</si>
  <si>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</si>
  <si>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</si>
  <si>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</si>
  <si>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</si>
  <si>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</si>
  <si>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</si>
  <si>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</si>
  <si>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</si>
  <si>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</si>
  <si>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</si>
  <si>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</si>
  <si>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</si>
  <si>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</si>
  <si>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</si>
  <si>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</si>
  <si>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</si>
  <si>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</si>
  <si>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</si>
  <si>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</si>
  <si>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</si>
  <si>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</si>
  <si>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</si>
  <si>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</si>
  <si>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</si>
  <si>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</si>
  <si>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</si>
  <si>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</si>
  <si>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</si>
  <si>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</si>
  <si>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</si>
  <si>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</si>
  <si>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</si>
  <si>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</si>
  <si>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</si>
  <si>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</si>
  <si>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</si>
  <si>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</si>
  <si>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</si>
  <si>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</si>
  <si>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</si>
  <si>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</si>
  <si>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</si>
  <si>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</si>
  <si>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</si>
  <si>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</si>
  <si>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</si>
  <si>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</si>
  <si>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</si>
  <si>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</si>
  <si>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</si>
  <si>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</si>
  <si>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</si>
  <si>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</si>
  <si>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</si>
  <si>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</si>
  <si>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</si>
  <si>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</si>
  <si>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</si>
  <si>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</si>
  <si>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</si>
  <si>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</si>
  <si>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</si>
  <si>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</si>
  <si>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</si>
  <si>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</si>
  <si>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</si>
  <si>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</si>
  <si>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</si>
  <si>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</si>
  <si>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</si>
  <si>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</si>
  <si>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</si>
  <si>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</si>
  <si>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</si>
  <si>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</si>
  <si>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</si>
  <si>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</si>
  <si>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</si>
  <si>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</si>
  <si>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</si>
  <si>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</si>
  <si>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</si>
  <si>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</si>
  <si>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</si>
  <si>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</si>
  <si>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</si>
  <si>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</si>
  <si>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</si>
  <si>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</si>
  <si>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</si>
  <si>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</si>
  <si>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</si>
  <si>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</si>
  <si>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</si>
  <si>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</si>
  <si>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</si>
  <si>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</si>
  <si>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</si>
  <si>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</si>
  <si>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</si>
  <si>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</si>
  <si>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</si>
  <si>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</si>
  <si>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</si>
  <si>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</si>
  <si>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</si>
  <si>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</si>
  <si>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</si>
  <si>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</si>
  <si>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</si>
  <si>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</si>
  <si>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</si>
  <si>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</si>
  <si>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</si>
  <si>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</si>
  <si>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</si>
  <si>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</si>
  <si>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</si>
  <si>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</si>
  <si>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</si>
  <si>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</si>
  <si>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</si>
  <si>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</si>
  <si>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</si>
  <si>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</si>
  <si>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</si>
  <si>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</si>
  <si>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</si>
  <si>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</si>
  <si>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</si>
  <si>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</si>
  <si>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</si>
  <si>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</si>
  <si>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</si>
  <si>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</si>
  <si>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</si>
  <si>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</si>
  <si>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</si>
  <si>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</si>
  <si>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</si>
  <si>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</si>
  <si>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</si>
  <si>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</si>
  <si>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</si>
  <si>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</si>
  <si>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</si>
  <si>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</si>
  <si>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</si>
  <si>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</si>
  <si>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</si>
  <si>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</si>
  <si>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</si>
  <si>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</si>
  <si>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</si>
  <si>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</si>
  <si>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</si>
  <si>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</si>
  <si>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</si>
  <si>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</si>
  <si>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</si>
  <si>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</si>
  <si>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</si>
  <si>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</si>
  <si>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</si>
  <si>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</si>
  <si>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</si>
  <si>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</si>
  <si>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</si>
  <si>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</si>
  <si>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</si>
  <si>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</si>
  <si>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</si>
  <si>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</si>
  <si>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</si>
  <si>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</si>
  <si>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</si>
  <si>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</si>
  <si>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</si>
  <si>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</si>
  <si>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</si>
  <si>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</si>
  <si>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</si>
  <si>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</si>
  <si>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</si>
  <si>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</si>
  <si>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</si>
  <si>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</si>
  <si>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</si>
  <si>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</si>
  <si>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</si>
  <si>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</si>
  <si>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</si>
  <si>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</si>
  <si>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</si>
  <si>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</si>
  <si>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</si>
  <si>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</si>
  <si>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</si>
  <si>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</si>
  <si>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</si>
  <si>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</si>
  <si>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</si>
  <si>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</si>
  <si>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</si>
  <si>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</si>
  <si>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</si>
  <si>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</si>
  <si>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</si>
  <si>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</si>
  <si>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</si>
  <si>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</si>
  <si>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</si>
  <si>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</si>
  <si>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</si>
  <si>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</si>
  <si>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</si>
  <si>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</si>
  <si>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</si>
  <si>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</si>
  <si>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</si>
  <si>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</si>
  <si>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</si>
  <si>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</si>
  <si>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</si>
  <si>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</si>
  <si>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</si>
  <si>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</si>
  <si>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</si>
  <si>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</si>
  <si>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</si>
  <si>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</si>
  <si>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</si>
  <si>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</si>
  <si>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</si>
  <si>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</si>
  <si>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</si>
  <si>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</si>
  <si>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</si>
  <si>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</si>
  <si>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</si>
  <si>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</si>
  <si>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</si>
  <si>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</si>
  <si>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</si>
  <si>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</si>
  <si>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</si>
  <si>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</si>
  <si>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</si>
  <si>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</si>
  <si>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</si>
  <si>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</si>
  <si>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</si>
  <si>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</si>
  <si>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</si>
  <si>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</si>
  <si>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</si>
  <si>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</si>
  <si>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</si>
  <si>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</si>
  <si>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</si>
  <si>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</si>
  <si>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</si>
  <si>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</si>
  <si>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</si>
  <si>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</si>
  <si>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</si>
  <si>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</si>
  <si>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</si>
  <si>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</si>
  <si>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</si>
  <si>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</si>
  <si>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</si>
  <si>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</si>
  <si>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</si>
  <si>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</si>
  <si>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</si>
  <si>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</si>
  <si>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</si>
  <si>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</si>
  <si>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</si>
  <si>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</si>
  <si>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</si>
  <si>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</si>
  <si>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</si>
  <si>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</si>
  <si>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</si>
  <si>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</si>
  <si>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</si>
  <si>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</si>
  <si>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</si>
  <si>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</si>
  <si>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</si>
  <si>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</si>
  <si>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</si>
  <si>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</si>
  <si>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</si>
  <si>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</si>
  <si>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</si>
  <si>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</si>
  <si>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</si>
  <si>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</si>
  <si>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</si>
  <si>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</si>
  <si>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</si>
  <si>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</si>
  <si>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</si>
  <si>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</si>
  <si>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</si>
  <si>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</si>
  <si>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</si>
  <si>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</si>
  <si>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</si>
  <si>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</si>
  <si>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</si>
  <si>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</si>
  <si>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</si>
  <si>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</si>
  <si>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</si>
  <si>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</si>
  <si>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</si>
  <si>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</si>
  <si>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</si>
  <si>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</si>
  <si>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</si>
  <si>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</si>
  <si>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</si>
  <si>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</si>
  <si>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</si>
  <si>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</si>
  <si>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</si>
  <si>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</si>
  <si>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</si>
  <si>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</si>
  <si>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</si>
  <si>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</si>
  <si>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</si>
  <si>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</si>
  <si>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</si>
  <si>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</si>
  <si>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</si>
  <si>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</si>
  <si>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</si>
  <si>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</si>
  <si>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</si>
  <si>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</si>
  <si>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</si>
  <si>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</si>
  <si>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</si>
  <si>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</si>
  <si>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</si>
  <si>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</si>
  <si>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</si>
  <si>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</si>
  <si>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</si>
  <si>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</si>
  <si>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</si>
  <si>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</si>
  <si>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</si>
  <si>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</si>
  <si>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</si>
  <si>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</si>
  <si>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</si>
  <si>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</si>
  <si>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</si>
  <si>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</si>
  <si>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</si>
  <si>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</si>
  <si>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</si>
  <si>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</si>
  <si>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</si>
  <si>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</si>
  <si>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</si>
  <si>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</si>
  <si>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</si>
  <si>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</si>
  <si>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</si>
  <si>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</si>
  <si>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</si>
  <si>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</si>
  <si>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</si>
  <si>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</si>
  <si>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</si>
  <si>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</si>
  <si>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</si>
  <si>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</si>
  <si>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</si>
  <si>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</si>
  <si>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</si>
  <si>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</si>
  <si>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</si>
  <si>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</si>
  <si>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</si>
  <si>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</si>
  <si>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</si>
  <si>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</si>
  <si>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</si>
  <si>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</si>
  <si>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</si>
  <si>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</si>
  <si>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</si>
  <si>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</si>
  <si>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</si>
  <si>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</si>
  <si>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</si>
  <si>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</si>
  <si>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</si>
  <si>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</si>
  <si>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</si>
  <si>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</si>
  <si>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</si>
  <si>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</si>
  <si>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</si>
  <si>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</si>
  <si>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</si>
  <si>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</si>
  <si>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</si>
  <si>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</si>
  <si>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</si>
  <si>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</si>
  <si>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</si>
  <si>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</si>
  <si>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</si>
  <si>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</si>
  <si>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</si>
  <si>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</si>
  <si>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</si>
  <si>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</si>
  <si>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</si>
  <si>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</si>
  <si>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</si>
  <si>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</si>
  <si>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</si>
  <si>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</si>
  <si>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</si>
  <si>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</si>
  <si>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</si>
  <si>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</si>
  <si>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</si>
  <si>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</si>
  <si>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</si>
  <si>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</si>
  <si>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</si>
  <si>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</si>
  <si>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</si>
  <si>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</si>
  <si>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</si>
  <si>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</si>
  <si>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</si>
  <si>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</si>
  <si>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</si>
  <si>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</si>
  <si>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</si>
  <si>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</si>
  <si>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</si>
  <si>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</si>
  <si>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</si>
  <si>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</si>
  <si>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</si>
  <si>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</si>
  <si>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</si>
  <si>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</si>
  <si>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</si>
  <si>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</si>
  <si>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</si>
  <si>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</si>
  <si>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</si>
  <si>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</si>
  <si>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</si>
  <si>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</si>
  <si>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</si>
  <si>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</si>
  <si>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</si>
  <si>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</si>
  <si>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</si>
  <si>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</si>
  <si>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</si>
  <si>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</si>
  <si>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</si>
  <si>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</si>
  <si>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</si>
  <si>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</si>
  <si>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</si>
  <si>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</si>
  <si>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</si>
  <si>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</si>
  <si>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</si>
  <si>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</si>
  <si>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</si>
  <si>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</si>
  <si>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</si>
  <si>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</si>
  <si>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</si>
  <si>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</si>
  <si>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</si>
  <si>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</si>
  <si>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</si>
  <si>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</si>
  <si>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</si>
  <si>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</si>
  <si>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</si>
  <si>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</si>
  <si>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</si>
  <si>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</si>
  <si>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</si>
  <si>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</si>
  <si>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</si>
  <si>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</si>
  <si>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</si>
  <si>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</si>
  <si>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</si>
  <si>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</si>
  <si>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</si>
  <si>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</si>
  <si>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</si>
  <si>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</si>
  <si>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</si>
  <si>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</si>
  <si>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</si>
  <si>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</si>
  <si>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</si>
  <si>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</si>
  <si>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</si>
  <si>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</si>
  <si>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</si>
  <si>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</si>
  <si>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</si>
  <si>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</si>
  <si>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</si>
  <si>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</si>
  <si>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</si>
  <si>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</si>
  <si>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</si>
  <si>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</si>
  <si>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</si>
  <si>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</si>
  <si>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</si>
  <si>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</si>
  <si>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</si>
  <si>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</si>
  <si>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</si>
  <si>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</si>
  <si>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</si>
  <si>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</si>
  <si>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</si>
  <si>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</si>
  <si>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</si>
  <si>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</si>
  <si>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</si>
  <si>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</si>
  <si>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</si>
  <si>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</si>
  <si>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</si>
  <si>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</si>
  <si>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</si>
  <si>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</si>
  <si>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</si>
  <si>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</si>
  <si>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</si>
  <si>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</si>
  <si>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</si>
  <si>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</si>
  <si>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</si>
  <si>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</si>
  <si>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</si>
  <si>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</si>
  <si>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</si>
  <si>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</si>
  <si>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</si>
  <si>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</si>
  <si>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</si>
  <si>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</si>
  <si>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</si>
  <si>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</si>
  <si>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</si>
  <si>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</si>
  <si>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</si>
  <si>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</si>
  <si>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</si>
  <si>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</si>
  <si>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</si>
  <si>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</si>
  <si>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</si>
  <si>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</si>
  <si>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</si>
  <si>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</si>
  <si>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</si>
  <si>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</si>
  <si>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</si>
  <si>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</si>
  <si>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</si>
  <si>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</si>
  <si>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</si>
  <si>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</si>
  <si>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</si>
  <si>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</si>
  <si>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</si>
  <si>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</si>
  <si>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</si>
  <si>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</si>
  <si>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</si>
  <si>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</si>
  <si>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</si>
  <si>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</si>
  <si>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</si>
  <si>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</si>
  <si>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</si>
  <si>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</si>
  <si>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</si>
  <si>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</si>
  <si>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</si>
  <si>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</si>
  <si>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</si>
  <si>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</si>
  <si>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</si>
  <si>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</si>
  <si>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</si>
  <si>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</si>
  <si>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</si>
  <si>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</si>
  <si>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</si>
  <si>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</si>
  <si>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</si>
  <si>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</si>
  <si>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</si>
  <si>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</si>
  <si>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</si>
  <si>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</si>
  <si>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</si>
  <si>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</si>
  <si>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</si>
  <si>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</si>
  <si>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</si>
  <si>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</si>
  <si>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</si>
  <si>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</si>
  <si>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</si>
  <si>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</si>
  <si>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</si>
  <si>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</si>
  <si>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</si>
  <si>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</si>
  <si>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</si>
  <si>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</si>
  <si>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</si>
  <si>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</si>
  <si>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</si>
  <si>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</si>
  <si>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</si>
  <si>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</si>
  <si>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</si>
  <si>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</si>
  <si>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</si>
  <si>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</si>
  <si>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</si>
  <si>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</si>
  <si>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</si>
  <si>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</si>
  <si>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</si>
  <si>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</si>
  <si>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</si>
  <si>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</si>
  <si>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</si>
  <si>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</si>
  <si>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</si>
  <si>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</si>
  <si>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</si>
  <si>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</si>
  <si>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</si>
  <si>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</si>
  <si>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</si>
  <si>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</si>
  <si>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</si>
  <si>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</si>
  <si>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</si>
  <si>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</si>
  <si>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</si>
  <si>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</si>
  <si>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</si>
  <si>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</si>
  <si>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</si>
  <si>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</si>
  <si>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</si>
  <si>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</si>
  <si>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</si>
  <si>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</si>
  <si>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</si>
  <si>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</si>
  <si>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</si>
  <si>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</si>
  <si>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</si>
  <si>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</si>
  <si>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</si>
  <si>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</si>
  <si>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</si>
  <si>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</si>
  <si>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</si>
  <si>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</si>
  <si>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</si>
  <si>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</si>
  <si>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</si>
  <si>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</si>
  <si>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</si>
  <si>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</si>
  <si>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</si>
  <si>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</si>
  <si>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</si>
  <si>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</si>
  <si>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</si>
  <si>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</si>
  <si>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</si>
  <si>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</si>
  <si>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</si>
  <si>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</si>
  <si>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</si>
  <si>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</si>
  <si>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</si>
  <si>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</si>
  <si>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</si>
  <si>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</si>
  <si>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</si>
  <si>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</si>
  <si>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</si>
  <si>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</si>
  <si>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</si>
  <si>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</si>
  <si>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</si>
  <si>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</si>
  <si>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</si>
  <si>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</si>
  <si>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</si>
  <si>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</si>
  <si>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</si>
  <si>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</si>
  <si>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</si>
  <si>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</si>
  <si>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</si>
  <si>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</si>
  <si>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</si>
  <si>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</si>
  <si>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</si>
  <si>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</si>
  <si>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</si>
  <si>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</si>
  <si>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</si>
  <si>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</si>
  <si>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</si>
  <si>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</si>
  <si>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</si>
  <si>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</si>
  <si>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</si>
  <si>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</si>
  <si>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</si>
  <si>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</si>
  <si>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</si>
  <si>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</si>
  <si>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</si>
  <si>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</si>
  <si>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</si>
  <si>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</si>
  <si>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</si>
  <si>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</si>
  <si>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</si>
  <si>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</si>
  <si>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</si>
  <si>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</si>
  <si>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</si>
  <si>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</si>
  <si>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</si>
  <si>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</si>
  <si>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</si>
  <si>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</si>
  <si>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</si>
  <si>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</si>
  <si>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</si>
  <si>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</si>
  <si>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</si>
  <si>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</si>
  <si>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</si>
  <si>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</si>
  <si>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</si>
  <si>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</si>
  <si>
    <t>Azure Machine Learning
Azure DevOps</t>
  </si>
  <si>
    <t>Azure Machine Learning, DevOps</t>
  </si>
  <si>
    <t>Sentry</t>
  </si>
  <si>
    <t>code carbon</t>
  </si>
  <si>
    <t>IntelliCode, Kite</t>
  </si>
  <si>
    <t>Azure DevOps,, DeepCode, Sider, ShiftLeft, Diffblue Cover, Magalix, Test.AI, JFrog Artifactory, Sonatype Nexus, Spinnaker, Guru, Azure Machine Learning</t>
  </si>
  <si>
    <t>docker-capable devices, Siemens Industrial Edge Platform,, Testing Framework</t>
  </si>
  <si>
    <t>AI-gesteuertes Monitoring wird erwähnt aber ohne tool</t>
  </si>
  <si>
    <t>AI-powered monitoring. Cloud-native observability systems.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</si>
</sst>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ptos Narrow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3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2" fillId="3" borderId="7" xfId="0" applyFont="1" applyFill="1" applyBorder="1" applyAlignment="1">
      <alignment vertical="top" wrapText="1"/>
    </xf>
    <xf numFmtId="0" fontId="20" fillId="0" borderId="0" xfId="0" applyFont="1"/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5" x14ac:dyDescent="0.2"/>
  <cols>
    <col min="2" max="2" width="31.5" customWidth="1"/>
    <col min="3" max="3" width="57.33203125" customWidth="1"/>
    <col min="4" max="4" width="46" customWidth="1"/>
  </cols>
  <sheetData>
    <row r="1" spans="1:9" ht="16" thickBot="1" x14ac:dyDescent="0.25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25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25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25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25">
      <c r="A5" s="17" t="s">
        <v>5</v>
      </c>
      <c r="B5" s="17" t="s">
        <v>56</v>
      </c>
      <c r="C5" s="17" t="s">
        <v>33</v>
      </c>
      <c r="D5" s="18" t="s">
        <v>28</v>
      </c>
      <c r="G5" s="126" t="s">
        <v>281</v>
      </c>
      <c r="H5" s="126"/>
      <c r="I5" s="126"/>
    </row>
    <row r="6" spans="1:9" ht="46" customHeight="1" thickBot="1" x14ac:dyDescent="0.25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25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27" t="s">
        <v>284</v>
      </c>
      <c r="H7" s="127"/>
      <c r="I7" s="127"/>
    </row>
    <row r="8" spans="1:9" ht="30.5" customHeight="1" thickBot="1" x14ac:dyDescent="0.25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27"/>
      <c r="H8" s="127"/>
      <c r="I8" s="127"/>
    </row>
    <row r="9" spans="1:9" ht="21.5" customHeight="1" thickBot="1" x14ac:dyDescent="0.25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25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25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25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25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25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25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25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25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25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25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25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25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25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25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25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6" thickBot="1" x14ac:dyDescent="0.25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25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7" thickBot="1" x14ac:dyDescent="0.25">
      <c r="A27" s="1" t="s">
        <v>27</v>
      </c>
      <c r="C27" s="3"/>
    </row>
    <row r="28" spans="1:4" ht="16" thickBot="1" x14ac:dyDescent="0.25">
      <c r="A28" s="1" t="s">
        <v>78</v>
      </c>
      <c r="C28" s="4"/>
    </row>
    <row r="29" spans="1:4" ht="16" thickBot="1" x14ac:dyDescent="0.25">
      <c r="A29" s="1" t="s">
        <v>79</v>
      </c>
    </row>
    <row r="30" spans="1:4" ht="16" thickBot="1" x14ac:dyDescent="0.25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topLeftCell="A4" zoomScale="85" zoomScaleNormal="85" workbookViewId="0">
      <selection activeCell="C25" sqref="C25"/>
    </sheetView>
  </sheetViews>
  <sheetFormatPr baseColWidth="10" defaultRowHeight="15" x14ac:dyDescent="0.2"/>
  <cols>
    <col min="2" max="2" width="31.5" customWidth="1"/>
    <col min="3" max="3" width="74" customWidth="1"/>
    <col min="4" max="4" width="46" customWidth="1"/>
  </cols>
  <sheetData>
    <row r="1" spans="1:12" ht="16" thickBot="1" x14ac:dyDescent="0.25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25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25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25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25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25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25">
      <c r="A7" s="19" t="s">
        <v>7</v>
      </c>
      <c r="B7" s="19" t="s">
        <v>59</v>
      </c>
      <c r="C7" s="19" t="s">
        <v>36</v>
      </c>
      <c r="D7" s="20" t="str">
        <f>"Rückwärts aus " &amp; A2</f>
        <v>Rückwärts aus P1</v>
      </c>
    </row>
    <row r="8" spans="1:12" ht="21.5" customHeight="1" thickBot="1" x14ac:dyDescent="0.25">
      <c r="A8" s="19" t="s">
        <v>8</v>
      </c>
      <c r="B8" s="19" t="s">
        <v>60</v>
      </c>
      <c r="C8" s="19" t="s">
        <v>37</v>
      </c>
      <c r="D8" s="20" t="str">
        <f>"Rückwärts aus " &amp; A2</f>
        <v>Rückwärts aus P1</v>
      </c>
    </row>
    <row r="9" spans="1:12" ht="29" customHeight="1" thickBot="1" x14ac:dyDescent="0.25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25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25">
      <c r="A11" s="19" t="s">
        <v>11</v>
      </c>
      <c r="B11" s="19" t="s">
        <v>1001</v>
      </c>
      <c r="C11" s="19" t="s">
        <v>277</v>
      </c>
      <c r="D11" s="20" t="s">
        <v>278</v>
      </c>
    </row>
    <row r="12" spans="1:12" ht="34.5" customHeight="1" thickBot="1" x14ac:dyDescent="0.25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25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25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6" thickBot="1" x14ac:dyDescent="0.25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31" thickBot="1" x14ac:dyDescent="0.25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31" thickBot="1" x14ac:dyDescent="0.25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25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25">
      <c r="A19" s="23" t="s">
        <v>19</v>
      </c>
      <c r="B19" s="23" t="s">
        <v>648</v>
      </c>
      <c r="C19" s="23" t="s">
        <v>649</v>
      </c>
      <c r="D19" s="24" t="s">
        <v>647</v>
      </c>
    </row>
    <row r="20" spans="1:4" ht="35.5" customHeight="1" thickBot="1" x14ac:dyDescent="0.25">
      <c r="A20" s="23" t="s">
        <v>20</v>
      </c>
      <c r="B20" s="23" t="s">
        <v>1033</v>
      </c>
      <c r="C20" s="23" t="s">
        <v>1032</v>
      </c>
      <c r="D20" s="24" t="s">
        <v>1031</v>
      </c>
    </row>
    <row r="21" spans="1:4" ht="44" customHeight="1" thickBot="1" x14ac:dyDescent="0.25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6" thickBot="1" x14ac:dyDescent="0.25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6" thickBot="1" x14ac:dyDescent="0.25">
      <c r="A23" s="1"/>
      <c r="C23" s="4"/>
    </row>
    <row r="24" spans="1:4" ht="16" thickBot="1" x14ac:dyDescent="0.25">
      <c r="A24" s="1"/>
    </row>
    <row r="25" spans="1:4" ht="16" thickBot="1" x14ac:dyDescent="0.25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3203125" defaultRowHeight="15" x14ac:dyDescent="0.2"/>
  <cols>
    <col min="1" max="1" width="5" style="7" bestFit="1" customWidth="1"/>
    <col min="2" max="2" width="14.1640625" style="7" customWidth="1"/>
    <col min="3" max="3" width="29.6640625" style="7" customWidth="1"/>
    <col min="4" max="4" width="32.6640625" style="7" customWidth="1"/>
    <col min="5" max="5" width="25.5" style="7" customWidth="1"/>
    <col min="6" max="6" width="50.83203125" style="7" customWidth="1"/>
    <col min="7" max="7" width="35.83203125" style="7" customWidth="1"/>
    <col min="8" max="8" width="14.33203125" style="7" customWidth="1"/>
    <col min="9" max="16384" width="10.83203125" style="7"/>
  </cols>
  <sheetData>
    <row r="1" spans="1:8" ht="16" x14ac:dyDescent="0.2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2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2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2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12" x14ac:dyDescent="0.2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2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96" x14ac:dyDescent="0.2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0" x14ac:dyDescent="0.2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64" x14ac:dyDescent="0.2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96" x14ac:dyDescent="0.2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2" x14ac:dyDescent="0.2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96" x14ac:dyDescent="0.2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2" x14ac:dyDescent="0.2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28" x14ac:dyDescent="0.2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0" x14ac:dyDescent="0.2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28" x14ac:dyDescent="0.2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96" x14ac:dyDescent="0.2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96" x14ac:dyDescent="0.2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28" x14ac:dyDescent="0.2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96" x14ac:dyDescent="0.2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0" x14ac:dyDescent="0.2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96" x14ac:dyDescent="0.2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80" x14ac:dyDescent="0.2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28" x14ac:dyDescent="0.2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80" x14ac:dyDescent="0.2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96" x14ac:dyDescent="0.2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ht="16" x14ac:dyDescent="0.2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2">
      <c r="H28" s="6">
        <f>Übersicht!D28</f>
        <v>0</v>
      </c>
    </row>
    <row r="38" spans="1:6" ht="87" customHeight="1" x14ac:dyDescent="0.2"/>
    <row r="39" spans="1:6" x14ac:dyDescent="0.2">
      <c r="A39" s="10"/>
      <c r="B39" s="11"/>
      <c r="C39" s="10"/>
      <c r="D39" s="10"/>
      <c r="E39" s="10"/>
      <c r="F39" s="8"/>
    </row>
    <row r="40" spans="1:6" x14ac:dyDescent="0.2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5" x14ac:dyDescent="0.2"/>
  <cols>
    <col min="1" max="1" width="23.33203125" customWidth="1"/>
    <col min="2" max="2" width="25.83203125" customWidth="1"/>
    <col min="3" max="3" width="30.6640625" customWidth="1"/>
    <col min="4" max="4" width="29.6640625" customWidth="1"/>
    <col min="5" max="5" width="21.6640625" bestFit="1" customWidth="1"/>
    <col min="6" max="6" width="22.1640625" bestFit="1" customWidth="1"/>
    <col min="7" max="7" width="12.83203125" customWidth="1"/>
  </cols>
  <sheetData>
    <row r="1" spans="1:11" ht="32" x14ac:dyDescent="0.2">
      <c r="A1" s="16" t="s">
        <v>261</v>
      </c>
      <c r="B1" s="16" t="s">
        <v>255</v>
      </c>
      <c r="C1" s="16" t="s">
        <v>262</v>
      </c>
      <c r="D1" s="16" t="s">
        <v>263</v>
      </c>
      <c r="E1" s="128"/>
      <c r="F1" s="128"/>
      <c r="G1" s="128"/>
      <c r="H1" s="128"/>
      <c r="I1" s="128"/>
      <c r="J1" s="128"/>
      <c r="K1" s="128"/>
    </row>
    <row r="2" spans="1:11" ht="32" x14ac:dyDescent="0.2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32" x14ac:dyDescent="0.2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32" x14ac:dyDescent="0.2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2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32" x14ac:dyDescent="0.2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ht="16" x14ac:dyDescent="0.2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2">
      <c r="G8" s="6"/>
      <c r="H8" s="6"/>
      <c r="I8" s="6"/>
      <c r="J8" s="6"/>
      <c r="K8" s="6"/>
    </row>
    <row r="9" spans="1:11" x14ac:dyDescent="0.2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5" x14ac:dyDescent="0.2"/>
  <cols>
    <col min="1" max="1" width="29.33203125" customWidth="1"/>
    <col min="2" max="2" width="46.5" customWidth="1"/>
    <col min="3" max="3" width="54.33203125" customWidth="1"/>
    <col min="4" max="4" width="61.5" customWidth="1"/>
  </cols>
  <sheetData>
    <row r="1" spans="1:4" ht="16" x14ac:dyDescent="0.2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6" x14ac:dyDescent="0.2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6" x14ac:dyDescent="0.2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2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32" x14ac:dyDescent="0.2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42" x14ac:dyDescent="0.2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2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5" x14ac:dyDescent="0.2"/>
  <cols>
    <col min="1" max="1" width="6" style="12" customWidth="1"/>
    <col min="2" max="2" width="33.1640625" customWidth="1"/>
    <col min="3" max="4" width="53.5" customWidth="1"/>
  </cols>
  <sheetData>
    <row r="1" spans="1:6" s="12" customFormat="1" x14ac:dyDescent="0.2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6" x14ac:dyDescent="0.2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70" x14ac:dyDescent="0.2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6" x14ac:dyDescent="0.2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84" x14ac:dyDescent="0.2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70" x14ac:dyDescent="0.2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6" x14ac:dyDescent="0.2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42" x14ac:dyDescent="0.2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6" x14ac:dyDescent="0.2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42" hidden="1" x14ac:dyDescent="0.2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2">
      <c r="A11" s="104" t="s">
        <v>10</v>
      </c>
      <c r="B11" s="25"/>
      <c r="C11" s="25"/>
      <c r="D11" s="105"/>
      <c r="E11" s="78"/>
      <c r="F11" s="78"/>
    </row>
    <row r="12" spans="1:6" ht="56" x14ac:dyDescent="0.2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6" x14ac:dyDescent="0.2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42" x14ac:dyDescent="0.2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8" x14ac:dyDescent="0.2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12" x14ac:dyDescent="0.2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6" x14ac:dyDescent="0.2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70" hidden="1" x14ac:dyDescent="0.2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42" x14ac:dyDescent="0.2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6" x14ac:dyDescent="0.2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42" hidden="1" x14ac:dyDescent="0.2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6" x14ac:dyDescent="0.2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70" x14ac:dyDescent="0.2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2">
      <c r="A24"/>
    </row>
    <row r="25" spans="1:6" hidden="1" x14ac:dyDescent="0.2">
      <c r="A25"/>
      <c r="E25" s="78"/>
      <c r="F25" s="78"/>
    </row>
    <row r="26" spans="1:6" x14ac:dyDescent="0.2">
      <c r="A26" s="109" t="s">
        <v>21</v>
      </c>
      <c r="B26" s="110"/>
      <c r="C26" s="110"/>
      <c r="D26" s="111"/>
      <c r="E26" s="78"/>
      <c r="F26" s="78"/>
    </row>
    <row r="27" spans="1:6" x14ac:dyDescent="0.2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zoomScale="70" zoomScaleNormal="70" workbookViewId="0">
      <pane xSplit="1" topLeftCell="B1" activePane="topRight" state="frozen"/>
      <selection pane="topRight" activeCell="G5" sqref="G5"/>
    </sheetView>
  </sheetViews>
  <sheetFormatPr baseColWidth="10" defaultRowHeight="15" x14ac:dyDescent="0.2"/>
  <cols>
    <col min="1" max="1" width="15.1640625" bestFit="1" customWidth="1"/>
    <col min="2" max="2" width="43.33203125" bestFit="1" customWidth="1"/>
    <col min="3" max="3" width="34.1640625" bestFit="1" customWidth="1"/>
    <col min="4" max="4" width="36.83203125" bestFit="1" customWidth="1"/>
    <col min="5" max="5" width="30.83203125" customWidth="1"/>
    <col min="6" max="6" width="35" bestFit="1" customWidth="1"/>
    <col min="7" max="7" width="35.83203125" bestFit="1" customWidth="1"/>
    <col min="8" max="8" width="31.6640625" bestFit="1" customWidth="1"/>
    <col min="9" max="9" width="36.83203125" customWidth="1"/>
    <col min="10" max="10" width="38.6640625" bestFit="1" customWidth="1"/>
    <col min="11" max="11" width="35" bestFit="1" customWidth="1"/>
    <col min="12" max="12" width="34.6640625" bestFit="1" customWidth="1"/>
    <col min="13" max="13" width="37.6640625" bestFit="1" customWidth="1"/>
    <col min="14" max="14" width="36.83203125" bestFit="1" customWidth="1"/>
    <col min="15" max="15" width="41.5" bestFit="1" customWidth="1"/>
    <col min="16" max="18" width="36.83203125" customWidth="1"/>
    <col min="19" max="19" width="36.6640625" bestFit="1" customWidth="1"/>
    <col min="20" max="21" width="36.83203125" customWidth="1"/>
    <col min="22" max="22" width="37.33203125" bestFit="1" customWidth="1"/>
  </cols>
  <sheetData>
    <row r="1" spans="1:22" ht="16" x14ac:dyDescent="0.2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43" t="s">
        <v>359</v>
      </c>
      <c r="H1" s="43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43" t="s">
        <v>957</v>
      </c>
      <c r="T1" s="43" t="s">
        <v>1029</v>
      </c>
      <c r="U1" s="43" t="s">
        <v>958</v>
      </c>
      <c r="V1" s="44" t="s">
        <v>959</v>
      </c>
    </row>
    <row r="2" spans="1:22" ht="70" x14ac:dyDescent="0.2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25" t="s">
        <v>536</v>
      </c>
      <c r="H2" s="25" t="s">
        <v>998</v>
      </c>
      <c r="I2" s="25" t="s">
        <v>632</v>
      </c>
      <c r="J2" s="25" t="s">
        <v>999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1000</v>
      </c>
      <c r="P2" s="25" t="s">
        <v>644</v>
      </c>
      <c r="Q2" s="25" t="s">
        <v>646</v>
      </c>
      <c r="R2" s="25" t="s">
        <v>584</v>
      </c>
      <c r="S2" s="25" t="s">
        <v>656</v>
      </c>
      <c r="T2" s="25" t="s">
        <v>1030</v>
      </c>
      <c r="U2" s="25" t="s">
        <v>585</v>
      </c>
      <c r="V2" s="25" t="s">
        <v>586</v>
      </c>
    </row>
    <row r="3" spans="1:22" ht="154" x14ac:dyDescent="0.2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25" t="s">
        <v>856</v>
      </c>
      <c r="H3" s="25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25" t="s">
        <v>874</v>
      </c>
      <c r="T3" s="25" t="s">
        <v>1048</v>
      </c>
      <c r="U3" s="25" t="s">
        <v>875</v>
      </c>
      <c r="V3" s="25" t="s">
        <v>876</v>
      </c>
    </row>
    <row r="4" spans="1:22" ht="140" x14ac:dyDescent="0.2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25" t="s">
        <v>862</v>
      </c>
      <c r="H4" s="25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25" t="s">
        <v>653</v>
      </c>
      <c r="T4" s="25" t="s">
        <v>1053</v>
      </c>
      <c r="U4" s="25" t="s">
        <v>580</v>
      </c>
      <c r="V4" s="25" t="s">
        <v>581</v>
      </c>
    </row>
    <row r="5" spans="1:22" ht="33.5" customHeight="1" x14ac:dyDescent="0.2">
      <c r="A5" s="50" t="s">
        <v>472</v>
      </c>
      <c r="B5" s="119" t="s">
        <v>1015</v>
      </c>
      <c r="C5" s="119" t="s">
        <v>1014</v>
      </c>
      <c r="D5" s="119" t="s">
        <v>1014</v>
      </c>
      <c r="E5" s="119" t="s">
        <v>252</v>
      </c>
      <c r="F5" s="119" t="s">
        <v>1014</v>
      </c>
      <c r="G5" s="119" t="s">
        <v>1063</v>
      </c>
      <c r="H5" s="119" t="s">
        <v>1014</v>
      </c>
      <c r="I5" s="118" t="s">
        <v>264</v>
      </c>
      <c r="J5" s="118" t="s">
        <v>1054</v>
      </c>
      <c r="K5" s="118" t="s">
        <v>1016</v>
      </c>
      <c r="L5" s="118" t="s">
        <v>1014</v>
      </c>
      <c r="M5" s="118" t="s">
        <v>1055</v>
      </c>
      <c r="N5" s="118" t="s">
        <v>1052</v>
      </c>
      <c r="O5" s="118" t="s">
        <v>1014</v>
      </c>
      <c r="P5" s="118" t="s">
        <v>1014</v>
      </c>
      <c r="Q5" s="118" t="s">
        <v>1014</v>
      </c>
      <c r="R5" s="118" t="s">
        <v>1016</v>
      </c>
      <c r="S5" s="118" t="s">
        <v>1016</v>
      </c>
      <c r="T5" s="118" t="s">
        <v>1052</v>
      </c>
      <c r="U5" s="118" t="s">
        <v>1016</v>
      </c>
      <c r="V5" s="118" t="s">
        <v>1015</v>
      </c>
    </row>
    <row r="6" spans="1:22" ht="154" x14ac:dyDescent="0.2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25" t="s">
        <v>537</v>
      </c>
      <c r="H6" s="25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25" t="s">
        <v>654</v>
      </c>
      <c r="T6" s="25" t="s">
        <v>1049</v>
      </c>
      <c r="U6" s="25" t="s">
        <v>582</v>
      </c>
      <c r="V6" s="25" t="s">
        <v>583</v>
      </c>
    </row>
    <row r="7" spans="1:22" ht="70" x14ac:dyDescent="0.2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25" t="s">
        <v>539</v>
      </c>
      <c r="H7" s="25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25" t="s">
        <v>652</v>
      </c>
      <c r="T7" s="25" t="s">
        <v>1050</v>
      </c>
      <c r="U7" s="25" t="s">
        <v>574</v>
      </c>
      <c r="V7" s="25" t="s">
        <v>575</v>
      </c>
    </row>
    <row r="8" spans="1:22" ht="112" x14ac:dyDescent="0.2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25" t="s">
        <v>531</v>
      </c>
      <c r="H8" s="25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25" t="s">
        <v>655</v>
      </c>
      <c r="T8" s="25" t="s">
        <v>1051</v>
      </c>
      <c r="U8" s="25" t="s">
        <v>577</v>
      </c>
      <c r="V8" s="25" t="s">
        <v>578</v>
      </c>
    </row>
    <row r="13" spans="1:22" x14ac:dyDescent="0.2">
      <c r="B13" s="129"/>
      <c r="C13" s="129"/>
      <c r="G13" s="67"/>
    </row>
    <row r="14" spans="1:22" x14ac:dyDescent="0.2">
      <c r="B14" s="129"/>
      <c r="C14" s="129"/>
      <c r="G14" s="67"/>
    </row>
    <row r="15" spans="1:22" ht="100.5" customHeight="1" x14ac:dyDescent="0.2">
      <c r="B15" s="129"/>
      <c r="C15" s="129"/>
      <c r="G15" s="67"/>
    </row>
    <row r="16" spans="1:22" x14ac:dyDescent="0.2">
      <c r="G16" s="67"/>
    </row>
    <row r="17" spans="7:7" x14ac:dyDescent="0.2">
      <c r="G17" s="67"/>
    </row>
    <row r="18" spans="7:7" x14ac:dyDescent="0.2">
      <c r="G18" s="67"/>
    </row>
    <row r="19" spans="7:7" x14ac:dyDescent="0.2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28"/>
  <sheetViews>
    <sheetView zoomScale="70" zoomScaleNormal="70" workbookViewId="0">
      <pane xSplit="2" topLeftCell="L1" activePane="topRight" state="frozen"/>
      <selection pane="topRight" activeCell="P19" sqref="P19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33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34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34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70" x14ac:dyDescent="0.2">
      <c r="A5" s="134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34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30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31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31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31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32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5" spans="1:34" x14ac:dyDescent="0.2">
      <c r="J15" s="6"/>
      <c r="K15" s="6"/>
      <c r="L15" s="6"/>
      <c r="S15"/>
      <c r="T15"/>
      <c r="U15"/>
      <c r="V15"/>
    </row>
    <row r="16" spans="1:34" x14ac:dyDescent="0.2">
      <c r="L16" s="6"/>
      <c r="U16"/>
      <c r="V16"/>
    </row>
    <row r="17" spans="9:22" x14ac:dyDescent="0.2">
      <c r="J17" s="6"/>
      <c r="K17" s="6"/>
      <c r="L17" s="6"/>
      <c r="Q17"/>
      <c r="R17"/>
      <c r="S17"/>
      <c r="T17"/>
      <c r="U17"/>
      <c r="V17"/>
    </row>
    <row r="18" spans="9:22" ht="23.5" customHeight="1" x14ac:dyDescent="0.2">
      <c r="I18" s="6"/>
      <c r="J18" s="6"/>
      <c r="K18" s="6"/>
      <c r="L18" s="6"/>
      <c r="O18" s="14"/>
      <c r="P18" s="14"/>
      <c r="Q18"/>
      <c r="R18"/>
      <c r="S18"/>
      <c r="T18"/>
      <c r="U18"/>
      <c r="V18"/>
    </row>
    <row r="19" spans="9:22" x14ac:dyDescent="0.2">
      <c r="I19" s="6"/>
      <c r="J19" s="6"/>
      <c r="K19" s="6"/>
      <c r="L19" s="6"/>
      <c r="O19" s="14"/>
      <c r="P19" s="14"/>
      <c r="Q19"/>
      <c r="R19"/>
      <c r="S19"/>
      <c r="T19"/>
      <c r="U19"/>
      <c r="V19"/>
    </row>
    <row r="20" spans="9:22" x14ac:dyDescent="0.2">
      <c r="I20" s="6"/>
      <c r="J20" s="6"/>
      <c r="K20" s="6"/>
      <c r="L20" s="6"/>
      <c r="O20" s="14"/>
      <c r="P20" s="14"/>
      <c r="Q20"/>
      <c r="R20"/>
      <c r="S20"/>
      <c r="T20"/>
      <c r="U20"/>
      <c r="V20"/>
    </row>
    <row r="21" spans="9:22" x14ac:dyDescent="0.2">
      <c r="I21" s="6"/>
      <c r="J21" s="6"/>
      <c r="K21" s="6"/>
      <c r="L21" s="6"/>
      <c r="O21" s="14"/>
      <c r="P21" s="14"/>
      <c r="Q21"/>
      <c r="R21"/>
      <c r="S21"/>
      <c r="T21"/>
      <c r="U21"/>
      <c r="V21"/>
    </row>
    <row r="22" spans="9:22" x14ac:dyDescent="0.2">
      <c r="I22" s="6"/>
      <c r="J22" s="6"/>
      <c r="K22" s="6"/>
      <c r="L22" s="6"/>
      <c r="O22" s="14"/>
      <c r="P22" s="14"/>
      <c r="Q22"/>
      <c r="R22"/>
      <c r="S22"/>
      <c r="T22"/>
      <c r="U22"/>
      <c r="V22"/>
    </row>
    <row r="23" spans="9:22" x14ac:dyDescent="0.2"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9:22" x14ac:dyDescent="0.2"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9:22" x14ac:dyDescent="0.2">
      <c r="I25" s="6"/>
      <c r="J25" s="6"/>
      <c r="K25" s="6"/>
      <c r="L25" s="6"/>
      <c r="O25" s="14"/>
      <c r="P25" s="14"/>
      <c r="Q25"/>
      <c r="R25"/>
      <c r="S25"/>
      <c r="T25"/>
      <c r="U25"/>
      <c r="V25"/>
    </row>
    <row r="26" spans="9:22" x14ac:dyDescent="0.2">
      <c r="K26" s="6"/>
      <c r="L26" s="6"/>
      <c r="Q26" s="14"/>
      <c r="R26" s="14"/>
      <c r="S26"/>
      <c r="T26"/>
      <c r="U26"/>
      <c r="V26"/>
    </row>
    <row r="27" spans="9:22" x14ac:dyDescent="0.2">
      <c r="K27" s="6"/>
      <c r="L27" s="6"/>
      <c r="Q27" s="14"/>
      <c r="R27" s="14"/>
      <c r="S27"/>
      <c r="T27"/>
      <c r="U27"/>
      <c r="V27"/>
    </row>
    <row r="28" spans="9:22" x14ac:dyDescent="0.2">
      <c r="S28" s="14"/>
      <c r="T28" s="14"/>
      <c r="U28" s="14"/>
      <c r="V28" s="14"/>
    </row>
  </sheetData>
  <mergeCells count="2">
    <mergeCell ref="A7:A11"/>
    <mergeCell ref="A2:A6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9.6640625" bestFit="1" customWidth="1"/>
    <col min="4" max="4" width="32.1640625" bestFit="1" customWidth="1"/>
    <col min="5" max="5" width="39.33203125" bestFit="1" customWidth="1"/>
    <col min="6" max="6" width="41.6640625" bestFit="1" customWidth="1"/>
    <col min="7" max="7" width="29.33203125" bestFit="1" customWidth="1"/>
    <col min="8" max="8" width="36" bestFit="1" customWidth="1"/>
    <col min="9" max="9" width="21.6640625" bestFit="1" customWidth="1"/>
    <col min="10" max="10" width="30.33203125" customWidth="1"/>
    <col min="11" max="11" width="34.1640625" bestFit="1" customWidth="1"/>
    <col min="12" max="12" width="38.33203125" bestFit="1" customWidth="1"/>
    <col min="13" max="13" width="28.6640625" bestFit="1" customWidth="1"/>
    <col min="14" max="14" width="23.5" bestFit="1" customWidth="1"/>
    <col min="15" max="15" width="23.33203125" bestFit="1" customWidth="1"/>
    <col min="16" max="16" width="47.83203125" bestFit="1" customWidth="1"/>
    <col min="17" max="17" width="27.83203125" customWidth="1"/>
    <col min="18" max="18" width="24.33203125" bestFit="1" customWidth="1"/>
    <col min="19" max="19" width="21" customWidth="1"/>
    <col min="20" max="20" width="25.1640625" bestFit="1" customWidth="1"/>
    <col min="21" max="22" width="25.1640625" customWidth="1"/>
    <col min="23" max="23" width="19.83203125" bestFit="1" customWidth="1"/>
    <col min="24" max="24" width="21.83203125" customWidth="1"/>
  </cols>
  <sheetData>
    <row r="1" spans="1:24" ht="16" thickBot="1" x14ac:dyDescent="0.25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8" x14ac:dyDescent="0.2">
      <c r="A2" s="133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42" x14ac:dyDescent="0.2">
      <c r="A3" s="134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70" x14ac:dyDescent="0.2">
      <c r="A4" s="134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9" thickBot="1" x14ac:dyDescent="0.25">
      <c r="A5" s="135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42" x14ac:dyDescent="0.2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42" x14ac:dyDescent="0.2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42" x14ac:dyDescent="0.2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42" x14ac:dyDescent="0.2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6" x14ac:dyDescent="0.2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84" x14ac:dyDescent="0.2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9" thickBot="1" x14ac:dyDescent="0.25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2"/>
    <row r="20" ht="50" customHeight="1" x14ac:dyDescent="0.2"/>
    <row r="22" ht="56" customHeight="1" x14ac:dyDescent="0.2"/>
    <row r="23" ht="34" customHeight="1" x14ac:dyDescent="0.2"/>
    <row r="24" ht="50" customHeight="1" x14ac:dyDescent="0.2"/>
    <row r="25" ht="50" customHeight="1" x14ac:dyDescent="0.2"/>
    <row r="26" ht="87.5" customHeight="1" x14ac:dyDescent="0.2"/>
    <row r="27" ht="75" customHeight="1" x14ac:dyDescent="0.2"/>
    <row r="28" ht="50.5" customHeight="1" x14ac:dyDescent="0.2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O1" activePane="topRight" state="frozen"/>
      <selection pane="topRight" activeCell="T3" sqref="T3:T5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4" bestFit="1" customWidth="1"/>
    <col min="4" max="4" width="30.83203125" customWidth="1"/>
    <col min="5" max="5" width="39" bestFit="1" customWidth="1"/>
    <col min="6" max="6" width="41.6640625" bestFit="1" customWidth="1"/>
    <col min="7" max="7" width="28.83203125" bestFit="1" customWidth="1"/>
    <col min="8" max="8" width="35.83203125" bestFit="1" customWidth="1"/>
    <col min="9" max="9" width="32.6640625" bestFit="1" customWidth="1"/>
    <col min="10" max="10" width="30.1640625" bestFit="1" customWidth="1"/>
    <col min="11" max="11" width="34.1640625" bestFit="1" customWidth="1"/>
    <col min="12" max="12" width="38.33203125" bestFit="1" customWidth="1"/>
    <col min="13" max="13" width="22.5" customWidth="1"/>
    <col min="14" max="14" width="23" bestFit="1" customWidth="1"/>
    <col min="15" max="15" width="47.6640625" bestFit="1" customWidth="1"/>
    <col min="16" max="16" width="21.6640625" bestFit="1" customWidth="1"/>
    <col min="17" max="17" width="21.83203125" bestFit="1" customWidth="1"/>
    <col min="18" max="18" width="21" customWidth="1"/>
    <col min="19" max="19" width="23.5" bestFit="1" customWidth="1"/>
    <col min="20" max="20" width="24.83203125" bestFit="1" customWidth="1"/>
    <col min="21" max="21" width="23.83203125" bestFit="1" customWidth="1"/>
    <col min="22" max="22" width="19.5" bestFit="1" customWidth="1"/>
    <col min="23" max="23" width="21.83203125" customWidth="1"/>
  </cols>
  <sheetData>
    <row r="1" spans="1:23" ht="31" thickBot="1" x14ac:dyDescent="0.25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</row>
    <row r="2" spans="1:23" ht="28" x14ac:dyDescent="0.2">
      <c r="A2" s="133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26" t="s">
        <v>1056</v>
      </c>
      <c r="I2" s="26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/>
      <c r="R2" s="26" t="s">
        <v>1126</v>
      </c>
      <c r="S2" s="26"/>
      <c r="T2" s="26"/>
      <c r="U2" s="26"/>
      <c r="V2" s="26" t="s">
        <v>706</v>
      </c>
      <c r="W2" s="27"/>
    </row>
    <row r="3" spans="1:23" ht="98" x14ac:dyDescent="0.2">
      <c r="A3" s="134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1122</v>
      </c>
      <c r="R3" s="25" t="s">
        <v>1127</v>
      </c>
      <c r="S3" s="25"/>
      <c r="T3" s="25" t="s">
        <v>1128</v>
      </c>
      <c r="U3" s="25"/>
      <c r="V3" s="25" t="s">
        <v>295</v>
      </c>
      <c r="W3" s="28" t="s">
        <v>707</v>
      </c>
    </row>
    <row r="4" spans="1:23" ht="70" x14ac:dyDescent="0.2">
      <c r="A4" s="134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25" t="s">
        <v>1060</v>
      </c>
      <c r="I4" s="25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/>
      <c r="R4" s="25" t="s">
        <v>1124</v>
      </c>
      <c r="S4" s="25"/>
      <c r="T4" s="25" t="s">
        <v>1125</v>
      </c>
      <c r="U4" s="25"/>
      <c r="V4" s="25"/>
      <c r="W4" s="151" t="s">
        <v>1129</v>
      </c>
    </row>
    <row r="5" spans="1:23" ht="29" thickBot="1" x14ac:dyDescent="0.25">
      <c r="A5" s="134"/>
      <c r="B5" s="35" t="s">
        <v>326</v>
      </c>
      <c r="C5" s="36"/>
      <c r="D5" s="29"/>
      <c r="E5" s="29"/>
      <c r="F5" s="29" t="s">
        <v>346</v>
      </c>
      <c r="G5" s="29" t="s">
        <v>383</v>
      </c>
      <c r="H5" s="29" t="s">
        <v>384</v>
      </c>
      <c r="I5" s="29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29" t="s">
        <v>668</v>
      </c>
      <c r="U5" s="29"/>
      <c r="V5" s="29"/>
      <c r="W5" s="30"/>
    </row>
    <row r="6" spans="1:23" ht="56" x14ac:dyDescent="0.2">
      <c r="A6" s="133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26" t="s">
        <v>1002</v>
      </c>
      <c r="I6" s="26"/>
      <c r="J6" s="79" t="s">
        <v>1003</v>
      </c>
      <c r="K6" s="79" t="s">
        <v>716</v>
      </c>
      <c r="L6" s="26"/>
      <c r="M6" s="124" t="s">
        <v>1004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26" t="s">
        <v>710</v>
      </c>
      <c r="U6" s="124" t="s">
        <v>1045</v>
      </c>
      <c r="V6" s="79" t="s">
        <v>713</v>
      </c>
      <c r="W6" s="81" t="s">
        <v>714</v>
      </c>
    </row>
    <row r="7" spans="1:23" ht="56" x14ac:dyDescent="0.2">
      <c r="A7" s="134"/>
      <c r="B7" s="33" t="s">
        <v>642</v>
      </c>
      <c r="C7" s="34"/>
      <c r="D7" s="80" t="s">
        <v>697</v>
      </c>
      <c r="E7" s="25" t="s">
        <v>693</v>
      </c>
      <c r="F7" s="25"/>
      <c r="G7" s="25"/>
      <c r="H7" s="80" t="s">
        <v>699</v>
      </c>
      <c r="I7" s="25"/>
      <c r="J7" s="80" t="s">
        <v>1006</v>
      </c>
      <c r="K7" s="25"/>
      <c r="L7" s="25"/>
      <c r="M7" s="80" t="s">
        <v>1005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25"/>
      <c r="U7" s="25"/>
      <c r="V7" s="80" t="s">
        <v>1007</v>
      </c>
      <c r="W7" s="112" t="s">
        <v>712</v>
      </c>
    </row>
    <row r="8" spans="1:23" ht="57" thickBot="1" x14ac:dyDescent="0.25">
      <c r="A8" s="136"/>
      <c r="B8" s="35" t="s">
        <v>592</v>
      </c>
      <c r="C8" s="122" t="s">
        <v>1064</v>
      </c>
      <c r="D8" s="29"/>
      <c r="E8" s="29" t="s">
        <v>350</v>
      </c>
      <c r="F8" s="123" t="s">
        <v>1065</v>
      </c>
      <c r="G8" s="29"/>
      <c r="H8" s="29"/>
      <c r="I8" s="29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29"/>
      <c r="U8" s="29" t="s">
        <v>1035</v>
      </c>
      <c r="V8" s="29"/>
      <c r="W8" s="30"/>
    </row>
    <row r="9" spans="1:23" ht="42" x14ac:dyDescent="0.2">
      <c r="A9" s="134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26" t="s">
        <v>971</v>
      </c>
      <c r="I9" s="26" t="s">
        <v>981</v>
      </c>
      <c r="J9" s="26" t="s">
        <v>972</v>
      </c>
      <c r="K9" s="26"/>
      <c r="L9" s="26" t="s">
        <v>977</v>
      </c>
      <c r="M9" s="26" t="s">
        <v>705</v>
      </c>
      <c r="N9" s="26" t="s">
        <v>441</v>
      </c>
      <c r="O9" s="26" t="s">
        <v>415</v>
      </c>
      <c r="P9" s="26" t="s">
        <v>988</v>
      </c>
      <c r="Q9" s="26" t="s">
        <v>715</v>
      </c>
      <c r="R9" s="26" t="s">
        <v>395</v>
      </c>
      <c r="S9" s="26" t="s">
        <v>989</v>
      </c>
      <c r="T9" s="26"/>
      <c r="U9" s="26" t="s">
        <v>1046</v>
      </c>
      <c r="V9" s="26" t="s">
        <v>990</v>
      </c>
      <c r="W9" s="27"/>
    </row>
    <row r="10" spans="1:23" ht="25" customHeight="1" x14ac:dyDescent="0.2">
      <c r="A10" s="134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15"/>
      <c r="I10" s="115"/>
      <c r="J10" s="115" t="s">
        <v>973</v>
      </c>
      <c r="K10" s="115"/>
      <c r="L10" s="115"/>
      <c r="M10" s="115" t="s">
        <v>983</v>
      </c>
      <c r="N10" s="115" t="s">
        <v>984</v>
      </c>
      <c r="O10" s="115"/>
      <c r="P10" s="115" t="s">
        <v>987</v>
      </c>
      <c r="Q10" s="115"/>
      <c r="R10" s="116"/>
      <c r="S10" s="115"/>
      <c r="T10" s="115"/>
      <c r="U10" s="115"/>
      <c r="V10" s="115" t="s">
        <v>966</v>
      </c>
      <c r="W10" s="117"/>
    </row>
    <row r="11" spans="1:23" ht="42" x14ac:dyDescent="0.2">
      <c r="A11" s="134"/>
      <c r="B11" s="33" t="s">
        <v>963</v>
      </c>
      <c r="C11" s="34"/>
      <c r="D11" s="25"/>
      <c r="E11" s="25" t="s">
        <v>978</v>
      </c>
      <c r="F11" s="25" t="s">
        <v>979</v>
      </c>
      <c r="G11" s="25"/>
      <c r="H11" s="25" t="s">
        <v>690</v>
      </c>
      <c r="I11" s="25" t="s">
        <v>982</v>
      </c>
      <c r="J11" s="25" t="s">
        <v>974</v>
      </c>
      <c r="K11" s="25" t="s">
        <v>976</v>
      </c>
      <c r="L11" s="25"/>
      <c r="M11" s="25"/>
      <c r="N11" s="25"/>
      <c r="O11" s="25"/>
      <c r="P11" s="25" t="s">
        <v>985</v>
      </c>
      <c r="Q11" s="25"/>
      <c r="R11" s="110"/>
      <c r="S11" s="25" t="s">
        <v>258</v>
      </c>
      <c r="T11" s="25"/>
      <c r="U11" s="25" t="s">
        <v>1047</v>
      </c>
      <c r="V11" s="25" t="s">
        <v>991</v>
      </c>
      <c r="W11" s="28" t="s">
        <v>1008</v>
      </c>
    </row>
    <row r="12" spans="1:23" ht="29" thickBot="1" x14ac:dyDescent="0.25">
      <c r="A12" s="136"/>
      <c r="B12" s="35" t="s">
        <v>964</v>
      </c>
      <c r="C12" s="36"/>
      <c r="D12" s="29"/>
      <c r="E12" s="29" t="s">
        <v>967</v>
      </c>
      <c r="F12" s="29"/>
      <c r="G12" s="29"/>
      <c r="H12" s="29" t="s">
        <v>980</v>
      </c>
      <c r="I12" s="29"/>
      <c r="J12" s="29" t="s">
        <v>975</v>
      </c>
      <c r="K12" s="29"/>
      <c r="L12" s="29"/>
      <c r="M12" s="29"/>
      <c r="N12" s="29" t="s">
        <v>964</v>
      </c>
      <c r="O12" s="29"/>
      <c r="P12" s="29" t="s">
        <v>986</v>
      </c>
      <c r="Q12" s="29"/>
      <c r="R12" s="29"/>
      <c r="S12" s="29"/>
      <c r="T12" s="29"/>
      <c r="U12" s="29"/>
      <c r="V12" s="29" t="s">
        <v>992</v>
      </c>
      <c r="W12" s="30"/>
    </row>
    <row r="14" spans="1:23" x14ac:dyDescent="0.2">
      <c r="L14" s="78"/>
    </row>
    <row r="15" spans="1:23" x14ac:dyDescent="0.2">
      <c r="A15" s="68" t="s">
        <v>698</v>
      </c>
    </row>
    <row r="16" spans="1:23" x14ac:dyDescent="0.2">
      <c r="A16" s="121" t="s">
        <v>1064</v>
      </c>
    </row>
    <row r="18" ht="14.5" customHeight="1" x14ac:dyDescent="0.2"/>
    <row r="19" ht="50" customHeight="1" x14ac:dyDescent="0.2"/>
    <row r="21" ht="56" customHeight="1" x14ac:dyDescent="0.2"/>
    <row r="22" ht="34" customHeight="1" x14ac:dyDescent="0.2"/>
    <row r="23" ht="50" customHeight="1" x14ac:dyDescent="0.2"/>
    <row r="24" ht="50" customHeight="1" x14ac:dyDescent="0.2"/>
    <row r="25" ht="87.5" customHeight="1" x14ac:dyDescent="0.2"/>
    <row r="26" ht="75" customHeight="1" x14ac:dyDescent="0.2"/>
    <row r="27" ht="50.5" customHeight="1" x14ac:dyDescent="0.2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workbookViewId="0">
      <selection activeCell="C16" sqref="C16"/>
    </sheetView>
  </sheetViews>
  <sheetFormatPr baseColWidth="10" defaultRowHeight="15" x14ac:dyDescent="0.2"/>
  <cols>
    <col min="1" max="2" width="18.33203125" customWidth="1"/>
    <col min="3" max="4" width="50.1640625" customWidth="1"/>
  </cols>
  <sheetData>
    <row r="1" spans="1:4" x14ac:dyDescent="0.2">
      <c r="A1" s="69" t="s">
        <v>1066</v>
      </c>
      <c r="B1" s="69" t="s">
        <v>1067</v>
      </c>
      <c r="C1" s="69" t="s">
        <v>1068</v>
      </c>
      <c r="D1" s="69" t="s">
        <v>1069</v>
      </c>
    </row>
    <row r="2" spans="1:4" x14ac:dyDescent="0.2">
      <c r="A2" s="125" t="s">
        <v>1070</v>
      </c>
      <c r="B2" s="125" t="s">
        <v>1071</v>
      </c>
      <c r="C2" s="125" t="s">
        <v>1072</v>
      </c>
      <c r="D2" s="125" t="s">
        <v>1073</v>
      </c>
    </row>
    <row r="3" spans="1:4" x14ac:dyDescent="0.2">
      <c r="A3" s="125" t="s">
        <v>1074</v>
      </c>
      <c r="B3" s="125" t="s">
        <v>1075</v>
      </c>
      <c r="C3" s="125" t="s">
        <v>1076</v>
      </c>
      <c r="D3" s="125" t="s">
        <v>1077</v>
      </c>
    </row>
    <row r="4" spans="1:4" x14ac:dyDescent="0.2">
      <c r="A4" s="125" t="s">
        <v>1078</v>
      </c>
      <c r="B4" s="125" t="s">
        <v>1079</v>
      </c>
      <c r="C4" s="125" t="s">
        <v>1080</v>
      </c>
      <c r="D4" s="125" t="s">
        <v>1081</v>
      </c>
    </row>
    <row r="5" spans="1:4" x14ac:dyDescent="0.2">
      <c r="A5" s="125" t="s">
        <v>1082</v>
      </c>
      <c r="B5" s="125" t="s">
        <v>1083</v>
      </c>
      <c r="C5" s="125" t="s">
        <v>1084</v>
      </c>
      <c r="D5" s="125" t="s">
        <v>1085</v>
      </c>
    </row>
    <row r="6" spans="1:4" x14ac:dyDescent="0.2">
      <c r="A6" s="125" t="s">
        <v>1086</v>
      </c>
      <c r="B6" s="125" t="s">
        <v>1087</v>
      </c>
      <c r="C6" s="125" t="s">
        <v>1088</v>
      </c>
      <c r="D6" s="125" t="s">
        <v>1089</v>
      </c>
    </row>
    <row r="7" spans="1:4" x14ac:dyDescent="0.2">
      <c r="A7" s="74" t="s">
        <v>1090</v>
      </c>
      <c r="B7" s="74" t="s">
        <v>1091</v>
      </c>
      <c r="C7" s="74" t="s">
        <v>1092</v>
      </c>
      <c r="D7" s="74" t="s">
        <v>1093</v>
      </c>
    </row>
    <row r="8" spans="1:4" x14ac:dyDescent="0.2">
      <c r="A8" s="74" t="s">
        <v>1094</v>
      </c>
      <c r="B8" s="74" t="s">
        <v>1095</v>
      </c>
      <c r="C8" s="74" t="s">
        <v>1096</v>
      </c>
      <c r="D8" s="74" t="s">
        <v>1097</v>
      </c>
    </row>
    <row r="9" spans="1:4" x14ac:dyDescent="0.2">
      <c r="A9" s="74" t="s">
        <v>1098</v>
      </c>
      <c r="B9" s="74" t="s">
        <v>1099</v>
      </c>
      <c r="C9" s="74" t="s">
        <v>1100</v>
      </c>
      <c r="D9" s="74" t="s">
        <v>1101</v>
      </c>
    </row>
    <row r="10" spans="1:4" x14ac:dyDescent="0.2">
      <c r="A10" s="74" t="s">
        <v>1102</v>
      </c>
      <c r="B10" s="74" t="s">
        <v>1103</v>
      </c>
      <c r="C10" s="74" t="s">
        <v>1104</v>
      </c>
      <c r="D10" s="74" t="s">
        <v>1105</v>
      </c>
    </row>
    <row r="11" spans="1:4" x14ac:dyDescent="0.2">
      <c r="A11" s="74" t="s">
        <v>1106</v>
      </c>
      <c r="B11" s="74" t="s">
        <v>1107</v>
      </c>
      <c r="C11" s="74" t="s">
        <v>1108</v>
      </c>
      <c r="D11" s="74" t="s">
        <v>1109</v>
      </c>
    </row>
    <row r="12" spans="1:4" x14ac:dyDescent="0.2">
      <c r="A12" s="74" t="s">
        <v>1110</v>
      </c>
      <c r="B12" s="74" t="s">
        <v>1111</v>
      </c>
      <c r="C12" s="74" t="s">
        <v>1112</v>
      </c>
      <c r="D12" s="74" t="s">
        <v>1113</v>
      </c>
    </row>
    <row r="13" spans="1:4" x14ac:dyDescent="0.2">
      <c r="A13" s="74" t="s">
        <v>1114</v>
      </c>
      <c r="B13" s="74" t="s">
        <v>1115</v>
      </c>
      <c r="C13" s="74" t="s">
        <v>1116</v>
      </c>
      <c r="D13" s="74" t="s">
        <v>1117</v>
      </c>
    </row>
    <row r="14" spans="1:4" x14ac:dyDescent="0.2">
      <c r="A14" s="74" t="s">
        <v>1118</v>
      </c>
      <c r="B14" s="74" t="s">
        <v>1119</v>
      </c>
      <c r="C14" s="74" t="s">
        <v>1120</v>
      </c>
      <c r="D14" s="74" t="s">
        <v>1121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5" x14ac:dyDescent="0.2"/>
  <cols>
    <col min="1" max="1" width="28.6640625" bestFit="1" customWidth="1"/>
    <col min="2" max="2" width="80.83203125" customWidth="1"/>
    <col min="3" max="3" width="28.5" bestFit="1" customWidth="1"/>
  </cols>
  <sheetData>
    <row r="1" spans="1:3" x14ac:dyDescent="0.2">
      <c r="A1" s="12" t="s">
        <v>238</v>
      </c>
      <c r="B1" s="12" t="s">
        <v>239</v>
      </c>
      <c r="C1" s="12" t="s">
        <v>240</v>
      </c>
    </row>
    <row r="2" spans="1:3" ht="32" x14ac:dyDescent="0.2">
      <c r="A2" s="6" t="s">
        <v>241</v>
      </c>
      <c r="B2" s="6" t="s">
        <v>247</v>
      </c>
      <c r="C2" s="6" t="s">
        <v>242</v>
      </c>
    </row>
    <row r="3" spans="1:3" ht="27.5" customHeight="1" x14ac:dyDescent="0.2">
      <c r="A3" s="6" t="s">
        <v>243</v>
      </c>
      <c r="B3" s="6" t="s">
        <v>244</v>
      </c>
      <c r="C3" s="6"/>
    </row>
    <row r="4" spans="1:3" ht="32" x14ac:dyDescent="0.2">
      <c r="A4" s="6" t="s">
        <v>245</v>
      </c>
      <c r="B4" s="6" t="s">
        <v>248</v>
      </c>
      <c r="C4" s="6"/>
    </row>
    <row r="5" spans="1:3" ht="32" x14ac:dyDescent="0.2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B27" sqref="B27"/>
    </sheetView>
  </sheetViews>
  <sheetFormatPr baseColWidth="10" defaultRowHeight="15" x14ac:dyDescent="0.2"/>
  <cols>
    <col min="1" max="1" width="11.6640625" bestFit="1" customWidth="1"/>
    <col min="2" max="2" width="26.1640625" bestFit="1" customWidth="1"/>
    <col min="3" max="3" width="50" style="51" bestFit="1" customWidth="1"/>
    <col min="4" max="4" width="138.5" bestFit="1" customWidth="1"/>
  </cols>
  <sheetData>
    <row r="1" spans="1:4" ht="16" thickBot="1" x14ac:dyDescent="0.25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2">
      <c r="A2" s="140" t="s">
        <v>495</v>
      </c>
      <c r="B2" s="145" t="s">
        <v>496</v>
      </c>
      <c r="C2" s="148"/>
      <c r="D2" s="138" t="s">
        <v>524</v>
      </c>
    </row>
    <row r="3" spans="1:4" x14ac:dyDescent="0.2">
      <c r="A3" s="141"/>
      <c r="B3" s="146"/>
      <c r="C3" s="149"/>
      <c r="D3" s="137"/>
    </row>
    <row r="4" spans="1:4" ht="16" thickBot="1" x14ac:dyDescent="0.25">
      <c r="A4" s="142"/>
      <c r="B4" s="147"/>
      <c r="C4" s="150"/>
      <c r="D4" s="139"/>
    </row>
    <row r="5" spans="1:4" x14ac:dyDescent="0.2">
      <c r="A5" s="140" t="s">
        <v>2</v>
      </c>
      <c r="B5" s="58" t="s">
        <v>497</v>
      </c>
      <c r="C5" s="59" t="s">
        <v>525</v>
      </c>
      <c r="D5" s="60" t="s">
        <v>498</v>
      </c>
    </row>
    <row r="6" spans="1:4" x14ac:dyDescent="0.2">
      <c r="A6" s="141"/>
      <c r="B6" s="53" t="s">
        <v>499</v>
      </c>
      <c r="C6" s="52" t="s">
        <v>526</v>
      </c>
      <c r="D6" s="61" t="s">
        <v>500</v>
      </c>
    </row>
    <row r="7" spans="1:4" x14ac:dyDescent="0.2">
      <c r="A7" s="141"/>
      <c r="B7" s="53" t="s">
        <v>501</v>
      </c>
      <c r="C7" s="52" t="s">
        <v>527</v>
      </c>
      <c r="D7" s="61" t="s">
        <v>502</v>
      </c>
    </row>
    <row r="8" spans="1:4" ht="16" thickBot="1" x14ac:dyDescent="0.25">
      <c r="A8" s="142"/>
      <c r="B8" s="62"/>
      <c r="C8" s="63"/>
      <c r="D8" s="64"/>
    </row>
    <row r="9" spans="1:4" ht="28" x14ac:dyDescent="0.2">
      <c r="A9" s="140" t="s">
        <v>3</v>
      </c>
      <c r="B9" s="58" t="s">
        <v>503</v>
      </c>
      <c r="C9" s="59" t="s">
        <v>504</v>
      </c>
      <c r="D9" s="60" t="s">
        <v>505</v>
      </c>
    </row>
    <row r="10" spans="1:4" ht="16" thickBot="1" x14ac:dyDescent="0.25">
      <c r="A10" s="142"/>
      <c r="B10" s="82" t="s">
        <v>506</v>
      </c>
      <c r="C10" s="83" t="s">
        <v>507</v>
      </c>
      <c r="D10" s="84" t="s">
        <v>508</v>
      </c>
    </row>
    <row r="11" spans="1:4" ht="31" customHeight="1" x14ac:dyDescent="0.2">
      <c r="A11" s="143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25">
      <c r="A12" s="144"/>
      <c r="B12" s="89"/>
      <c r="C12" s="63"/>
      <c r="D12" s="64"/>
    </row>
    <row r="13" spans="1:4" ht="28" x14ac:dyDescent="0.2">
      <c r="A13" s="140" t="s">
        <v>5</v>
      </c>
      <c r="B13" s="85" t="s">
        <v>511</v>
      </c>
      <c r="C13" s="86" t="s">
        <v>512</v>
      </c>
      <c r="D13" s="87" t="s">
        <v>513</v>
      </c>
    </row>
    <row r="14" spans="1:4" x14ac:dyDescent="0.2">
      <c r="A14" s="141"/>
      <c r="B14" s="53" t="s">
        <v>514</v>
      </c>
      <c r="C14" s="52" t="s">
        <v>515</v>
      </c>
      <c r="D14" s="61" t="s">
        <v>516</v>
      </c>
    </row>
    <row r="15" spans="1:4" x14ac:dyDescent="0.2">
      <c r="A15" s="141"/>
      <c r="B15" s="53" t="s">
        <v>474</v>
      </c>
      <c r="C15" s="52" t="s">
        <v>517</v>
      </c>
      <c r="D15" s="61" t="s">
        <v>518</v>
      </c>
    </row>
    <row r="16" spans="1:4" x14ac:dyDescent="0.2">
      <c r="A16" s="141"/>
      <c r="B16" s="146"/>
      <c r="C16" s="52" t="s">
        <v>519</v>
      </c>
      <c r="D16" s="137" t="s">
        <v>521</v>
      </c>
    </row>
    <row r="17" spans="1:4" x14ac:dyDescent="0.2">
      <c r="A17" s="141"/>
      <c r="B17" s="146"/>
      <c r="C17" s="52" t="s">
        <v>520</v>
      </c>
      <c r="D17" s="137"/>
    </row>
    <row r="18" spans="1:4" ht="16" thickBot="1" x14ac:dyDescent="0.25">
      <c r="A18" s="142"/>
      <c r="B18" s="62"/>
      <c r="C18" s="63" t="s">
        <v>522</v>
      </c>
      <c r="D18" s="64" t="s">
        <v>523</v>
      </c>
    </row>
    <row r="19" spans="1:4" x14ac:dyDescent="0.2">
      <c r="A19" s="143" t="s">
        <v>6</v>
      </c>
      <c r="B19" s="88" t="s">
        <v>1010</v>
      </c>
      <c r="C19" s="59" t="s">
        <v>1011</v>
      </c>
      <c r="D19" s="60" t="s">
        <v>1012</v>
      </c>
    </row>
    <row r="20" spans="1:4" ht="16" thickBot="1" x14ac:dyDescent="0.25">
      <c r="A20" s="144"/>
      <c r="B20" s="89"/>
      <c r="C20" s="63"/>
      <c r="D20" s="64"/>
    </row>
    <row r="21" spans="1:4" x14ac:dyDescent="0.2">
      <c r="A21" s="140" t="s">
        <v>7</v>
      </c>
      <c r="B21" s="58" t="s">
        <v>1057</v>
      </c>
      <c r="C21" s="59" t="s">
        <v>1058</v>
      </c>
      <c r="D21" s="60" t="s">
        <v>1059</v>
      </c>
    </row>
    <row r="22" spans="1:4" ht="16" thickBot="1" x14ac:dyDescent="0.25">
      <c r="A22" s="142"/>
      <c r="B22" s="62"/>
      <c r="C22" s="63"/>
      <c r="D22" s="64"/>
    </row>
  </sheetData>
  <mergeCells count="12">
    <mergeCell ref="A19:A20"/>
    <mergeCell ref="A21:A22"/>
    <mergeCell ref="A2:A4"/>
    <mergeCell ref="B2:B4"/>
    <mergeCell ref="C2:C4"/>
    <mergeCell ref="B16:B17"/>
    <mergeCell ref="D16:D17"/>
    <mergeCell ref="D2:D4"/>
    <mergeCell ref="A13:A18"/>
    <mergeCell ref="A9:A10"/>
    <mergeCell ref="A5:A8"/>
    <mergeCell ref="A11:A1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30"/>
  <sheetViews>
    <sheetView topLeftCell="A5" zoomScale="90" zoomScaleNormal="90" workbookViewId="0">
      <pane xSplit="2" topLeftCell="C1" activePane="topRight" state="frozen"/>
      <selection pane="topRight" activeCell="B7" sqref="A7:XFD15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33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34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34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70" x14ac:dyDescent="0.2">
      <c r="A5" s="134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36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33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34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34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34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36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28" x14ac:dyDescent="0.2">
      <c r="A12" s="133" t="s">
        <v>255</v>
      </c>
      <c r="B12" s="31" t="s">
        <v>256</v>
      </c>
      <c r="C12" s="32" t="s">
        <v>292</v>
      </c>
      <c r="D12" s="26" t="s">
        <v>292</v>
      </c>
      <c r="E12" s="26" t="s">
        <v>293</v>
      </c>
      <c r="F12" s="26" t="s">
        <v>322</v>
      </c>
      <c r="G12" s="26"/>
      <c r="H12" s="26" t="s">
        <v>1056</v>
      </c>
      <c r="I12" s="26" t="s">
        <v>372</v>
      </c>
      <c r="J12" s="26" t="s">
        <v>461</v>
      </c>
      <c r="K12" s="26" t="s">
        <v>292</v>
      </c>
      <c r="L12" s="26" t="s">
        <v>373</v>
      </c>
      <c r="M12" s="26"/>
      <c r="N12" s="26"/>
      <c r="O12" s="26"/>
      <c r="P12" s="26"/>
      <c r="Q12" s="26"/>
      <c r="R12" s="26"/>
      <c r="S12" s="26"/>
      <c r="T12" s="26"/>
      <c r="U12" s="26"/>
      <c r="V12" s="26" t="s">
        <v>706</v>
      </c>
      <c r="W12" s="27"/>
    </row>
    <row r="13" spans="1:34" ht="42" x14ac:dyDescent="0.2">
      <c r="A13" s="134"/>
      <c r="B13" s="33" t="s">
        <v>323</v>
      </c>
      <c r="C13" s="34" t="s">
        <v>719</v>
      </c>
      <c r="D13" s="25" t="s">
        <v>720</v>
      </c>
      <c r="E13" s="25" t="s">
        <v>294</v>
      </c>
      <c r="F13" s="25" t="s">
        <v>345</v>
      </c>
      <c r="G13" s="25" t="s">
        <v>375</v>
      </c>
      <c r="H13" s="25" t="s">
        <v>425</v>
      </c>
      <c r="I13" s="25" t="s">
        <v>426</v>
      </c>
      <c r="J13" s="25"/>
      <c r="K13" s="25" t="s">
        <v>427</v>
      </c>
      <c r="L13" s="25" t="s">
        <v>376</v>
      </c>
      <c r="M13" s="25"/>
      <c r="N13" s="25" t="s">
        <v>428</v>
      </c>
      <c r="O13" s="25"/>
      <c r="P13" s="25"/>
      <c r="Q13" s="25" t="s">
        <v>1123</v>
      </c>
      <c r="R13" s="25" t="s">
        <v>429</v>
      </c>
      <c r="S13" s="25"/>
      <c r="T13" s="25" t="s">
        <v>660</v>
      </c>
      <c r="U13" s="25"/>
      <c r="V13" s="25" t="s">
        <v>295</v>
      </c>
      <c r="W13" s="28" t="s">
        <v>707</v>
      </c>
    </row>
    <row r="14" spans="1:34" ht="70" x14ac:dyDescent="0.2">
      <c r="A14" s="134"/>
      <c r="B14" s="33" t="s">
        <v>257</v>
      </c>
      <c r="C14" s="34" t="s">
        <v>306</v>
      </c>
      <c r="D14" s="25" t="s">
        <v>307</v>
      </c>
      <c r="E14" s="25"/>
      <c r="F14" s="25" t="s">
        <v>308</v>
      </c>
      <c r="G14" s="25"/>
      <c r="H14" s="25" t="s">
        <v>1060</v>
      </c>
      <c r="I14" s="25"/>
      <c r="J14" s="25" t="s">
        <v>464</v>
      </c>
      <c r="K14" s="25" t="s">
        <v>431</v>
      </c>
      <c r="L14" s="120" t="s">
        <v>379</v>
      </c>
      <c r="M14" s="25" t="s">
        <v>296</v>
      </c>
      <c r="N14" s="25"/>
      <c r="O14" s="25" t="s">
        <v>380</v>
      </c>
      <c r="P14" s="25"/>
      <c r="Q14" s="25" t="s">
        <v>403</v>
      </c>
      <c r="R14" s="25" t="s">
        <v>382</v>
      </c>
      <c r="S14" s="25"/>
      <c r="T14" s="25" t="s">
        <v>661</v>
      </c>
      <c r="U14" s="25"/>
      <c r="V14" s="25"/>
      <c r="W14" s="28" t="s">
        <v>1130</v>
      </c>
    </row>
    <row r="15" spans="1:34" ht="29" thickBot="1" x14ac:dyDescent="0.25">
      <c r="A15" s="136"/>
      <c r="B15" s="35" t="s">
        <v>326</v>
      </c>
      <c r="C15" s="36"/>
      <c r="D15" s="29"/>
      <c r="E15" s="29"/>
      <c r="F15" s="29" t="s">
        <v>346</v>
      </c>
      <c r="G15" s="29" t="s">
        <v>383</v>
      </c>
      <c r="H15" s="29" t="s">
        <v>384</v>
      </c>
      <c r="I15" s="29"/>
      <c r="J15" s="29"/>
      <c r="K15" s="29" t="s">
        <v>385</v>
      </c>
      <c r="L15" s="29" t="s">
        <v>432</v>
      </c>
      <c r="M15" s="29"/>
      <c r="N15" s="29"/>
      <c r="O15" s="29"/>
      <c r="P15" s="29"/>
      <c r="Q15" s="29"/>
      <c r="R15" s="29"/>
      <c r="S15" s="29"/>
      <c r="T15" s="29" t="s">
        <v>668</v>
      </c>
      <c r="U15" s="29"/>
      <c r="V15" s="29"/>
      <c r="W15" s="30"/>
    </row>
    <row r="16" spans="1:34" ht="56" x14ac:dyDescent="0.2">
      <c r="A16" s="133" t="s">
        <v>687</v>
      </c>
      <c r="B16" s="31" t="s">
        <v>641</v>
      </c>
      <c r="C16" s="90" t="s">
        <v>691</v>
      </c>
      <c r="D16" s="79" t="s">
        <v>696</v>
      </c>
      <c r="E16" s="26" t="s">
        <v>692</v>
      </c>
      <c r="F16" s="26" t="s">
        <v>694</v>
      </c>
      <c r="G16" s="79" t="s">
        <v>695</v>
      </c>
      <c r="H16" s="26" t="s">
        <v>1002</v>
      </c>
      <c r="I16" s="26"/>
      <c r="J16" s="79" t="s">
        <v>1003</v>
      </c>
      <c r="K16" s="79" t="s">
        <v>716</v>
      </c>
      <c r="L16" s="26"/>
      <c r="M16" s="124" t="s">
        <v>1004</v>
      </c>
      <c r="N16" s="26" t="s">
        <v>703</v>
      </c>
      <c r="O16" s="79" t="s">
        <v>717</v>
      </c>
      <c r="P16" s="26" t="s">
        <v>702</v>
      </c>
      <c r="Q16" s="79" t="s">
        <v>708</v>
      </c>
      <c r="R16" s="79" t="s">
        <v>708</v>
      </c>
      <c r="S16" s="79" t="s">
        <v>960</v>
      </c>
      <c r="T16" s="26" t="s">
        <v>710</v>
      </c>
      <c r="U16" s="124" t="s">
        <v>1045</v>
      </c>
      <c r="V16" s="79" t="s">
        <v>713</v>
      </c>
      <c r="W16" s="81" t="s">
        <v>714</v>
      </c>
    </row>
    <row r="17" spans="1:33" ht="56" x14ac:dyDescent="0.2">
      <c r="A17" s="134"/>
      <c r="B17" s="33" t="s">
        <v>642</v>
      </c>
      <c r="C17" s="34"/>
      <c r="D17" s="80" t="s">
        <v>697</v>
      </c>
      <c r="E17" s="25" t="s">
        <v>693</v>
      </c>
      <c r="F17" s="25"/>
      <c r="G17" s="25"/>
      <c r="H17" s="80" t="s">
        <v>699</v>
      </c>
      <c r="I17" s="25"/>
      <c r="J17" s="80" t="s">
        <v>1006</v>
      </c>
      <c r="K17" s="25"/>
      <c r="L17" s="25"/>
      <c r="M17" s="80" t="s">
        <v>1005</v>
      </c>
      <c r="N17" s="25" t="s">
        <v>704</v>
      </c>
      <c r="O17" s="25"/>
      <c r="P17" s="25" t="s">
        <v>701</v>
      </c>
      <c r="Q17" s="80" t="s">
        <v>709</v>
      </c>
      <c r="R17" s="25"/>
      <c r="S17" s="80" t="s">
        <v>711</v>
      </c>
      <c r="T17" s="25"/>
      <c r="U17" s="25"/>
      <c r="V17" s="80" t="s">
        <v>1007</v>
      </c>
      <c r="W17" s="112" t="s">
        <v>712</v>
      </c>
    </row>
    <row r="18" spans="1:33" ht="43" thickBot="1" x14ac:dyDescent="0.25">
      <c r="A18" s="136"/>
      <c r="B18" s="35" t="s">
        <v>592</v>
      </c>
      <c r="C18" s="122" t="s">
        <v>1064</v>
      </c>
      <c r="D18" s="29"/>
      <c r="E18" s="29" t="s">
        <v>350</v>
      </c>
      <c r="F18" s="123" t="s">
        <v>1065</v>
      </c>
      <c r="G18" s="29"/>
      <c r="H18" s="29"/>
      <c r="I18" s="29"/>
      <c r="J18" s="29"/>
      <c r="K18" s="29"/>
      <c r="L18" s="29" t="s">
        <v>700</v>
      </c>
      <c r="M18" s="29" t="s">
        <v>351</v>
      </c>
      <c r="N18" s="29" t="s">
        <v>416</v>
      </c>
      <c r="O18" s="123" t="s">
        <v>396</v>
      </c>
      <c r="P18" s="29" t="s">
        <v>444</v>
      </c>
      <c r="Q18" s="29"/>
      <c r="R18" s="123" t="s">
        <v>718</v>
      </c>
      <c r="S18" s="29" t="s">
        <v>961</v>
      </c>
      <c r="T18" s="29"/>
      <c r="U18" s="29" t="s">
        <v>1035</v>
      </c>
      <c r="V18" s="29"/>
      <c r="W18" s="30"/>
    </row>
    <row r="19" spans="1:33" ht="42" x14ac:dyDescent="0.2">
      <c r="A19" s="133" t="s">
        <v>688</v>
      </c>
      <c r="B19" s="31" t="s">
        <v>259</v>
      </c>
      <c r="C19" s="32" t="s">
        <v>965</v>
      </c>
      <c r="D19" s="26" t="s">
        <v>721</v>
      </c>
      <c r="E19" s="26" t="s">
        <v>968</v>
      </c>
      <c r="F19" s="26" t="s">
        <v>969</v>
      </c>
      <c r="G19" s="26" t="s">
        <v>970</v>
      </c>
      <c r="H19" s="26" t="s">
        <v>971</v>
      </c>
      <c r="I19" s="26" t="s">
        <v>981</v>
      </c>
      <c r="J19" s="26" t="s">
        <v>972</v>
      </c>
      <c r="K19" s="26"/>
      <c r="L19" s="26" t="s">
        <v>977</v>
      </c>
      <c r="M19" s="26" t="s">
        <v>705</v>
      </c>
      <c r="N19" s="26" t="s">
        <v>441</v>
      </c>
      <c r="O19" s="26" t="s">
        <v>415</v>
      </c>
      <c r="P19" s="26" t="s">
        <v>988</v>
      </c>
      <c r="Q19" s="26" t="s">
        <v>715</v>
      </c>
      <c r="R19" s="26" t="s">
        <v>395</v>
      </c>
      <c r="S19" s="26" t="s">
        <v>989</v>
      </c>
      <c r="T19" s="26"/>
      <c r="U19" s="26" t="s">
        <v>1046</v>
      </c>
      <c r="V19" s="26" t="s">
        <v>990</v>
      </c>
      <c r="W19" s="27"/>
    </row>
    <row r="20" spans="1:33" ht="25" customHeight="1" x14ac:dyDescent="0.2">
      <c r="A20" s="134"/>
      <c r="B20" s="113" t="s">
        <v>962</v>
      </c>
      <c r="C20" s="114" t="s">
        <v>966</v>
      </c>
      <c r="D20" s="115"/>
      <c r="E20" s="115" t="s">
        <v>689</v>
      </c>
      <c r="F20" s="115"/>
      <c r="G20" s="115"/>
      <c r="H20" s="115"/>
      <c r="I20" s="115"/>
      <c r="J20" s="115" t="s">
        <v>973</v>
      </c>
      <c r="K20" s="115"/>
      <c r="L20" s="115"/>
      <c r="M20" s="115" t="s">
        <v>983</v>
      </c>
      <c r="N20" s="115" t="s">
        <v>984</v>
      </c>
      <c r="O20" s="115"/>
      <c r="P20" s="115" t="s">
        <v>987</v>
      </c>
      <c r="Q20" s="115"/>
      <c r="R20" s="116"/>
      <c r="S20" s="115"/>
      <c r="T20" s="115"/>
      <c r="U20" s="115"/>
      <c r="V20" s="115" t="s">
        <v>966</v>
      </c>
      <c r="W20" s="117"/>
    </row>
    <row r="21" spans="1:33" ht="56" x14ac:dyDescent="0.2">
      <c r="A21" s="134"/>
      <c r="B21" s="33" t="s">
        <v>963</v>
      </c>
      <c r="C21" s="34"/>
      <c r="D21" s="25"/>
      <c r="E21" s="25" t="s">
        <v>978</v>
      </c>
      <c r="F21" s="25" t="s">
        <v>979</v>
      </c>
      <c r="G21" s="25"/>
      <c r="H21" s="25" t="s">
        <v>690</v>
      </c>
      <c r="I21" s="25" t="s">
        <v>982</v>
      </c>
      <c r="J21" s="25" t="s">
        <v>974</v>
      </c>
      <c r="K21" s="25" t="s">
        <v>976</v>
      </c>
      <c r="L21" s="25"/>
      <c r="M21" s="25"/>
      <c r="N21" s="25"/>
      <c r="O21" s="25"/>
      <c r="P21" s="25" t="s">
        <v>985</v>
      </c>
      <c r="Q21" s="25"/>
      <c r="R21" s="110"/>
      <c r="S21" s="25" t="s">
        <v>258</v>
      </c>
      <c r="T21" s="25"/>
      <c r="U21" s="25" t="s">
        <v>1047</v>
      </c>
      <c r="V21" s="25" t="s">
        <v>991</v>
      </c>
      <c r="W21" s="28" t="s">
        <v>1008</v>
      </c>
    </row>
    <row r="22" spans="1:33" ht="16" thickBot="1" x14ac:dyDescent="0.25">
      <c r="A22" s="136"/>
      <c r="B22" s="35" t="s">
        <v>964</v>
      </c>
      <c r="C22" s="36"/>
      <c r="D22" s="29"/>
      <c r="E22" s="29" t="s">
        <v>967</v>
      </c>
      <c r="F22" s="29"/>
      <c r="G22" s="29"/>
      <c r="H22" s="29" t="s">
        <v>980</v>
      </c>
      <c r="I22" s="29"/>
      <c r="J22" s="29" t="s">
        <v>975</v>
      </c>
      <c r="K22" s="29"/>
      <c r="L22" s="29"/>
      <c r="M22" s="29"/>
      <c r="N22" s="29" t="s">
        <v>964</v>
      </c>
      <c r="O22" s="29"/>
      <c r="P22" s="29" t="s">
        <v>986</v>
      </c>
      <c r="Q22" s="29"/>
      <c r="R22" s="29"/>
      <c r="S22" s="29"/>
      <c r="T22" s="29"/>
      <c r="U22" s="29"/>
      <c r="V22" s="29" t="s">
        <v>992</v>
      </c>
      <c r="W22" s="30"/>
    </row>
    <row r="23" spans="1:33" x14ac:dyDescent="0.2">
      <c r="A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x14ac:dyDescent="0.2">
      <c r="A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2">
      <c r="A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2">
      <c r="A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2">
      <c r="A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x14ac:dyDescent="0.2">
      <c r="A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x14ac:dyDescent="0.2">
      <c r="A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2">
      <c r="A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</sheetData>
  <mergeCells count="5">
    <mergeCell ref="A19:A22"/>
    <mergeCell ref="A2:A6"/>
    <mergeCell ref="A7:A11"/>
    <mergeCell ref="A12:A15"/>
    <mergeCell ref="A16:A18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C088-7B1A-724F-96D6-11C56C9BF066}">
  <dimension ref="A1:AH10"/>
  <sheetViews>
    <sheetView tabSelected="1" topLeftCell="A4" workbookViewId="0">
      <pane xSplit="1" topLeftCell="B1" activePane="topRight" state="frozen"/>
      <selection pane="topRight" activeCell="D16" sqref="D16"/>
    </sheetView>
  </sheetViews>
  <sheetFormatPr baseColWidth="10" defaultRowHeight="15" x14ac:dyDescent="0.2"/>
  <cols>
    <col min="1" max="23" width="22" customWidth="1"/>
  </cols>
  <sheetData>
    <row r="1" spans="1:34" ht="16" thickBot="1" x14ac:dyDescent="0.25">
      <c r="C1" s="152" t="s">
        <v>2</v>
      </c>
      <c r="D1" s="152" t="s">
        <v>3</v>
      </c>
      <c r="E1" s="152" t="s">
        <v>4</v>
      </c>
      <c r="F1" s="152" t="s">
        <v>5</v>
      </c>
      <c r="G1" s="152" t="s">
        <v>6</v>
      </c>
      <c r="H1" s="152" t="s">
        <v>7</v>
      </c>
      <c r="I1" s="152" t="s">
        <v>8</v>
      </c>
      <c r="J1" s="152" t="s">
        <v>9</v>
      </c>
      <c r="K1" s="152" t="s">
        <v>10</v>
      </c>
      <c r="L1" s="152" t="s">
        <v>11</v>
      </c>
      <c r="M1" s="152" t="s">
        <v>12</v>
      </c>
      <c r="N1" s="152" t="s">
        <v>13</v>
      </c>
      <c r="O1" s="152" t="s">
        <v>14</v>
      </c>
      <c r="P1" s="152" t="s">
        <v>15</v>
      </c>
      <c r="Q1" s="152" t="s">
        <v>16</v>
      </c>
      <c r="R1" s="152" t="s">
        <v>17</v>
      </c>
      <c r="S1" s="152" t="s">
        <v>18</v>
      </c>
      <c r="T1" s="152" t="s">
        <v>19</v>
      </c>
      <c r="U1" s="152" t="s">
        <v>20</v>
      </c>
      <c r="V1" s="152" t="s">
        <v>21</v>
      </c>
      <c r="W1" s="152" t="s">
        <v>22</v>
      </c>
    </row>
    <row r="2" spans="1:34" ht="84" x14ac:dyDescent="0.2">
      <c r="A2" s="133" t="s">
        <v>320</v>
      </c>
      <c r="B2" s="95" t="s">
        <v>995</v>
      </c>
      <c r="C2" s="99" t="s">
        <v>731</v>
      </c>
      <c r="D2" s="26" t="s">
        <v>736</v>
      </c>
      <c r="E2" s="26" t="s">
        <v>737</v>
      </c>
      <c r="F2" s="26" t="s">
        <v>738</v>
      </c>
      <c r="G2" s="26"/>
      <c r="H2" s="26" t="s">
        <v>739</v>
      </c>
      <c r="I2" s="26" t="s">
        <v>740</v>
      </c>
      <c r="J2" s="26" t="s">
        <v>768</v>
      </c>
      <c r="K2" s="26" t="s">
        <v>769</v>
      </c>
      <c r="L2" s="26" t="s">
        <v>770</v>
      </c>
      <c r="M2" s="26" t="s">
        <v>771</v>
      </c>
      <c r="N2" s="26" t="s">
        <v>772</v>
      </c>
      <c r="O2" s="26" t="s">
        <v>804</v>
      </c>
      <c r="P2" s="26" t="s">
        <v>805</v>
      </c>
      <c r="Q2" s="26" t="s">
        <v>806</v>
      </c>
      <c r="R2" s="26" t="s">
        <v>807</v>
      </c>
      <c r="S2" s="26" t="s">
        <v>833</v>
      </c>
      <c r="T2" s="26" t="s">
        <v>834</v>
      </c>
      <c r="U2" s="26" t="s">
        <v>1041</v>
      </c>
      <c r="V2" s="26" t="s">
        <v>835</v>
      </c>
      <c r="W2" s="27" t="s">
        <v>836</v>
      </c>
      <c r="Z2" s="6"/>
      <c r="AA2" s="6"/>
      <c r="AB2" s="6"/>
      <c r="AC2" s="6"/>
      <c r="AD2" s="6"/>
      <c r="AE2" s="6"/>
      <c r="AF2" s="6"/>
      <c r="AG2" s="6"/>
      <c r="AH2" s="6"/>
    </row>
    <row r="3" spans="1:34" ht="126" x14ac:dyDescent="0.2">
      <c r="A3" s="134"/>
      <c r="B3" s="96" t="s">
        <v>997</v>
      </c>
      <c r="C3" s="100" t="s">
        <v>732</v>
      </c>
      <c r="D3" s="25" t="s">
        <v>741</v>
      </c>
      <c r="E3" s="25" t="s">
        <v>742</v>
      </c>
      <c r="F3" s="25" t="s">
        <v>743</v>
      </c>
      <c r="G3" s="25"/>
      <c r="H3" s="25" t="s">
        <v>744</v>
      </c>
      <c r="I3" s="25" t="s">
        <v>745</v>
      </c>
      <c r="J3" s="25" t="s">
        <v>773</v>
      </c>
      <c r="K3" s="25" t="s">
        <v>774</v>
      </c>
      <c r="L3" s="25" t="s">
        <v>775</v>
      </c>
      <c r="M3" s="25" t="s">
        <v>776</v>
      </c>
      <c r="N3" s="25" t="s">
        <v>777</v>
      </c>
      <c r="O3" s="25" t="s">
        <v>808</v>
      </c>
      <c r="P3" s="25" t="s">
        <v>809</v>
      </c>
      <c r="Q3" s="25"/>
      <c r="R3" s="25" t="s">
        <v>810</v>
      </c>
      <c r="S3" s="25" t="s">
        <v>837</v>
      </c>
      <c r="T3" s="25" t="s">
        <v>838</v>
      </c>
      <c r="U3" s="25" t="s">
        <v>1042</v>
      </c>
      <c r="V3" s="25" t="s">
        <v>839</v>
      </c>
      <c r="W3" s="28" t="s">
        <v>840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ht="98" x14ac:dyDescent="0.2">
      <c r="A4" s="134"/>
      <c r="B4" s="96" t="s">
        <v>1017</v>
      </c>
      <c r="C4" s="100" t="s">
        <v>733</v>
      </c>
      <c r="D4" s="25" t="s">
        <v>746</v>
      </c>
      <c r="E4" s="25" t="s">
        <v>747</v>
      </c>
      <c r="F4" s="25" t="s">
        <v>748</v>
      </c>
      <c r="G4" s="25" t="s">
        <v>749</v>
      </c>
      <c r="H4" s="25" t="s">
        <v>750</v>
      </c>
      <c r="I4" s="25"/>
      <c r="J4" s="25" t="s">
        <v>778</v>
      </c>
      <c r="K4" s="25" t="s">
        <v>779</v>
      </c>
      <c r="L4" s="25"/>
      <c r="M4" s="25" t="s">
        <v>780</v>
      </c>
      <c r="N4" s="25" t="s">
        <v>781</v>
      </c>
      <c r="O4" s="25"/>
      <c r="P4" s="25" t="s">
        <v>811</v>
      </c>
      <c r="Q4" s="25" t="s">
        <v>812</v>
      </c>
      <c r="R4" s="25" t="s">
        <v>994</v>
      </c>
      <c r="S4" s="25" t="s">
        <v>993</v>
      </c>
      <c r="T4" s="25" t="s">
        <v>841</v>
      </c>
      <c r="U4" s="25" t="s">
        <v>1043</v>
      </c>
      <c r="V4" s="25"/>
      <c r="W4" s="28" t="s">
        <v>842</v>
      </c>
      <c r="Z4" s="6"/>
      <c r="AA4" s="6"/>
      <c r="AB4" s="6"/>
      <c r="AC4" s="6"/>
      <c r="AD4" s="6"/>
      <c r="AE4" s="6"/>
      <c r="AF4" s="6"/>
      <c r="AG4" s="6"/>
      <c r="AH4" s="6"/>
    </row>
    <row r="5" spans="1:34" ht="84" x14ac:dyDescent="0.2">
      <c r="A5" s="134"/>
      <c r="B5" s="96" t="s">
        <v>1018</v>
      </c>
      <c r="C5" s="100" t="s">
        <v>734</v>
      </c>
      <c r="D5" s="25" t="s">
        <v>751</v>
      </c>
      <c r="E5" s="25"/>
      <c r="F5" s="25"/>
      <c r="G5" s="25"/>
      <c r="H5" s="25" t="s">
        <v>752</v>
      </c>
      <c r="I5" s="25" t="s">
        <v>1025</v>
      </c>
      <c r="J5" s="25"/>
      <c r="K5" s="25" t="s">
        <v>782</v>
      </c>
      <c r="L5" s="25" t="s">
        <v>783</v>
      </c>
      <c r="M5" s="25" t="s">
        <v>784</v>
      </c>
      <c r="N5" s="25" t="s">
        <v>785</v>
      </c>
      <c r="O5" s="25" t="s">
        <v>813</v>
      </c>
      <c r="P5" s="25" t="s">
        <v>814</v>
      </c>
      <c r="Q5" s="25" t="s">
        <v>815</v>
      </c>
      <c r="R5" s="25" t="s">
        <v>996</v>
      </c>
      <c r="S5" s="25" t="s">
        <v>843</v>
      </c>
      <c r="T5" s="25" t="s">
        <v>844</v>
      </c>
      <c r="U5" s="25" t="s">
        <v>1044</v>
      </c>
      <c r="V5" s="25" t="s">
        <v>845</v>
      </c>
      <c r="W5" s="28" t="s">
        <v>846</v>
      </c>
      <c r="Z5" s="6"/>
      <c r="AA5" s="6"/>
      <c r="AB5" s="6"/>
      <c r="AC5" s="6"/>
      <c r="AD5" s="6"/>
      <c r="AE5" s="6"/>
      <c r="AF5" s="6"/>
      <c r="AG5" s="6"/>
      <c r="AH5" s="6"/>
    </row>
    <row r="6" spans="1:34" ht="99" thickBot="1" x14ac:dyDescent="0.25">
      <c r="A6" s="136"/>
      <c r="B6" s="98" t="s">
        <v>1019</v>
      </c>
      <c r="C6" s="101" t="s">
        <v>735</v>
      </c>
      <c r="D6" s="29" t="s">
        <v>753</v>
      </c>
      <c r="E6" s="29" t="s">
        <v>754</v>
      </c>
      <c r="F6" s="29" t="s">
        <v>755</v>
      </c>
      <c r="G6" s="29" t="s">
        <v>1013</v>
      </c>
      <c r="H6" s="29" t="s">
        <v>756</v>
      </c>
      <c r="I6" s="29"/>
      <c r="J6" s="29" t="s">
        <v>786</v>
      </c>
      <c r="K6" s="29" t="s">
        <v>787</v>
      </c>
      <c r="L6" s="29" t="s">
        <v>788</v>
      </c>
      <c r="M6" s="29" t="s">
        <v>789</v>
      </c>
      <c r="N6" s="29"/>
      <c r="O6" s="29"/>
      <c r="P6" s="29" t="s">
        <v>816</v>
      </c>
      <c r="Q6" s="29" t="s">
        <v>817</v>
      </c>
      <c r="R6" s="29"/>
      <c r="S6" s="29"/>
      <c r="T6" s="29" t="s">
        <v>847</v>
      </c>
      <c r="U6" s="29"/>
      <c r="V6" s="29" t="s">
        <v>848</v>
      </c>
      <c r="W6" s="30" t="s">
        <v>849</v>
      </c>
    </row>
    <row r="7" spans="1:34" ht="28" x14ac:dyDescent="0.2">
      <c r="A7" s="133" t="s">
        <v>255</v>
      </c>
      <c r="B7" s="31" t="s">
        <v>256</v>
      </c>
      <c r="C7" s="32" t="s">
        <v>292</v>
      </c>
      <c r="D7" s="26" t="s">
        <v>292</v>
      </c>
      <c r="E7" s="26" t="s">
        <v>293</v>
      </c>
      <c r="F7" s="26" t="s">
        <v>322</v>
      </c>
      <c r="G7" s="26"/>
      <c r="H7" s="26" t="s">
        <v>1056</v>
      </c>
      <c r="I7" s="26" t="s">
        <v>372</v>
      </c>
      <c r="J7" s="26" t="s">
        <v>461</v>
      </c>
      <c r="K7" s="26" t="s">
        <v>292</v>
      </c>
      <c r="L7" s="26" t="s">
        <v>373</v>
      </c>
      <c r="M7" s="26"/>
      <c r="N7" s="26"/>
      <c r="O7" s="26"/>
      <c r="P7" s="26"/>
      <c r="Q7" s="26"/>
      <c r="R7" s="26" t="s">
        <v>1126</v>
      </c>
      <c r="S7" s="26"/>
      <c r="T7" s="26"/>
      <c r="U7" s="26"/>
      <c r="V7" s="26" t="s">
        <v>706</v>
      </c>
      <c r="W7" s="27"/>
    </row>
    <row r="8" spans="1:34" ht="98" x14ac:dyDescent="0.2">
      <c r="A8" s="134"/>
      <c r="B8" s="33" t="s">
        <v>323</v>
      </c>
      <c r="C8" s="34" t="s">
        <v>719</v>
      </c>
      <c r="D8" s="25" t="s">
        <v>720</v>
      </c>
      <c r="E8" s="25" t="s">
        <v>294</v>
      </c>
      <c r="F8" s="25" t="s">
        <v>345</v>
      </c>
      <c r="G8" s="25" t="s">
        <v>375</v>
      </c>
      <c r="H8" s="25" t="s">
        <v>425</v>
      </c>
      <c r="I8" s="25" t="s">
        <v>426</v>
      </c>
      <c r="J8" s="25"/>
      <c r="K8" s="25" t="s">
        <v>427</v>
      </c>
      <c r="L8" s="25" t="s">
        <v>376</v>
      </c>
      <c r="M8" s="25"/>
      <c r="N8" s="25" t="s">
        <v>428</v>
      </c>
      <c r="O8" s="25"/>
      <c r="P8" s="25"/>
      <c r="Q8" s="25" t="s">
        <v>1123</v>
      </c>
      <c r="R8" s="25" t="s">
        <v>1127</v>
      </c>
      <c r="S8" s="25"/>
      <c r="T8" s="25" t="s">
        <v>1128</v>
      </c>
      <c r="U8" s="25"/>
      <c r="V8" s="25" t="s">
        <v>295</v>
      </c>
      <c r="W8" s="28" t="s">
        <v>707</v>
      </c>
    </row>
    <row r="9" spans="1:34" ht="98" x14ac:dyDescent="0.2">
      <c r="A9" s="134"/>
      <c r="B9" s="33" t="s">
        <v>257</v>
      </c>
      <c r="C9" s="34" t="s">
        <v>306</v>
      </c>
      <c r="D9" s="25" t="s">
        <v>307</v>
      </c>
      <c r="E9" s="25"/>
      <c r="F9" s="25" t="s">
        <v>308</v>
      </c>
      <c r="G9" s="25"/>
      <c r="H9" s="25" t="s">
        <v>1060</v>
      </c>
      <c r="I9" s="25"/>
      <c r="J9" s="25" t="s">
        <v>464</v>
      </c>
      <c r="K9" s="25" t="s">
        <v>431</v>
      </c>
      <c r="L9" s="120" t="s">
        <v>379</v>
      </c>
      <c r="M9" s="25" t="s">
        <v>296</v>
      </c>
      <c r="N9" s="25"/>
      <c r="O9" s="25" t="s">
        <v>380</v>
      </c>
      <c r="P9" s="25"/>
      <c r="Q9" s="25"/>
      <c r="R9" s="25" t="s">
        <v>1124</v>
      </c>
      <c r="S9" s="25"/>
      <c r="T9" s="25" t="s">
        <v>1125</v>
      </c>
      <c r="U9" s="25"/>
      <c r="V9" s="25"/>
      <c r="W9" s="28" t="s">
        <v>1130</v>
      </c>
    </row>
    <row r="10" spans="1:34" ht="43" thickBot="1" x14ac:dyDescent="0.25">
      <c r="A10" s="136"/>
      <c r="B10" s="35" t="s">
        <v>326</v>
      </c>
      <c r="C10" s="36"/>
      <c r="D10" s="29"/>
      <c r="E10" s="29"/>
      <c r="F10" s="29" t="s">
        <v>346</v>
      </c>
      <c r="G10" s="29" t="s">
        <v>383</v>
      </c>
      <c r="H10" s="29" t="s">
        <v>384</v>
      </c>
      <c r="I10" s="29"/>
      <c r="J10" s="29"/>
      <c r="K10" s="29" t="s">
        <v>385</v>
      </c>
      <c r="L10" s="29" t="s">
        <v>432</v>
      </c>
      <c r="M10" s="29"/>
      <c r="N10" s="29"/>
      <c r="O10" s="29"/>
      <c r="P10" s="29"/>
      <c r="Q10" s="29"/>
      <c r="R10" s="29"/>
      <c r="S10" s="29"/>
      <c r="T10" s="29" t="s">
        <v>668</v>
      </c>
      <c r="U10" s="29"/>
      <c r="V10" s="29"/>
      <c r="W10" s="30"/>
    </row>
  </sheetData>
  <mergeCells count="2">
    <mergeCell ref="A2:A6"/>
    <mergeCell ref="A7:A10"/>
  </mergeCells>
  <phoneticPr fontId="1" type="noConversion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5" x14ac:dyDescent="0.2"/>
  <cols>
    <col min="1" max="1" width="32.5" customWidth="1"/>
    <col min="2" max="2" width="44" customWidth="1"/>
    <col min="4" max="4" width="23.6640625" customWidth="1"/>
    <col min="6" max="6" width="32.33203125" customWidth="1"/>
    <col min="8" max="8" width="21.33203125" customWidth="1"/>
    <col min="9" max="9" width="15.1640625" customWidth="1"/>
    <col min="10" max="10" width="24" customWidth="1"/>
    <col min="12" max="12" width="17.33203125" customWidth="1"/>
    <col min="13" max="13" width="26.6640625" customWidth="1"/>
    <col min="17" max="17" width="15.33203125" customWidth="1"/>
    <col min="18" max="18" width="19" customWidth="1"/>
  </cols>
  <sheetData>
    <row r="1" spans="1:18" ht="32" x14ac:dyDescent="0.2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32" x14ac:dyDescent="0.2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8" x14ac:dyDescent="0.2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32" x14ac:dyDescent="0.2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8" x14ac:dyDescent="0.2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32" x14ac:dyDescent="0.2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32" x14ac:dyDescent="0.2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32" x14ac:dyDescent="0.2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32" x14ac:dyDescent="0.2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8" x14ac:dyDescent="0.2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32" x14ac:dyDescent="0.2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8" x14ac:dyDescent="0.2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8" x14ac:dyDescent="0.2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ht="16" x14ac:dyDescent="0.2">
      <c r="D14" s="66" t="s">
        <v>598</v>
      </c>
      <c r="E14" s="66" t="s">
        <v>670</v>
      </c>
      <c r="F14" s="66" t="s">
        <v>682</v>
      </c>
    </row>
    <row r="15" spans="1:18" ht="32" x14ac:dyDescent="0.2">
      <c r="D15" s="49" t="s">
        <v>625</v>
      </c>
      <c r="E15" s="74" t="s">
        <v>633</v>
      </c>
      <c r="F15" s="74" t="s">
        <v>683</v>
      </c>
    </row>
    <row r="16" spans="1:18" ht="16" x14ac:dyDescent="0.2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16</vt:i4>
      </vt:variant>
      <vt:variant>
        <vt:lpstr>Benannte Bereiche</vt:lpstr>
      </vt:variant>
      <vt:variant>
        <vt:i4>4</vt:i4>
      </vt:variant>
    </vt:vector>
  </HeadingPairs>
  <TitlesOfParts>
    <vt:vector size="20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Tabelle1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2025-11-20T07:55:05Z</cp:lastPrinted>
  <dcterms:created xsi:type="dcterms:W3CDTF">2025-11-05T09:36:11Z</dcterms:created>
  <dcterms:modified xsi:type="dcterms:W3CDTF">2025-12-15T08:59:35Z</dcterms:modified>
</cp:coreProperties>
</file>