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Thesis/Excel/"/>
    </mc:Choice>
  </mc:AlternateContent>
  <xr:revisionPtr revIDLastSave="0" documentId="8_{536E6B85-78BD-4FB1-93A1-CE36B1D36A09}" xr6:coauthVersionLast="47" xr6:coauthVersionMax="47" xr10:uidLastSave="{00000000-0000-0000-0000-000000000000}"/>
  <bookViews>
    <workbookView xWindow="28680" yWindow="-120" windowWidth="29040" windowHeight="15720" firstSheet="4" activeTab="7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RQ3" sheetId="7" r:id="rId11"/>
    <sheet name="Allgemeine Infos" sheetId="12" r:id="rId12"/>
    <sheet name="Quantitative Analyse" sheetId="13" state="hidden" r:id="rId13"/>
  </sheets>
  <definedNames>
    <definedName name="_xlnm.Print_Area" localSheetId="6">Extraktion!$A$1:$V$8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<sst xmlns="http://schemas.openxmlformats.org/spreadsheetml/2006/main" count="1518" uniqueCount="1074">
  <si>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</si>
  <si>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</si>
  <si>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</si>
  <si>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</si>
  <si>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</si>
  <si>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</si>
  <si>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</si>
  <si>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</si>
  <si>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</si>
  <si>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</si>
  <si>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</si>
  <si>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</si>
  <si>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</si>
  <si>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</si>
  <si>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</si>
  <si>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</si>
  <si>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</si>
  <si>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</si>
  <si>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</si>
  <si>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</si>
  <si>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</si>
  <si>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</si>
  <si>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</si>
  <si>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</si>
  <si>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</si>
  <si>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</si>
  <si>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</si>
  <si>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</si>
  <si>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</si>
  <si>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</si>
  <si>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</si>
  <si>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</si>
  <si>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</si>
  <si>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</si>
  <si>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</si>
  <si>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</si>
  <si>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</si>
  <si>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</si>
  <si>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</si>
  <si>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</si>
  <si>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</si>
  <si>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</si>
  <si>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</si>
  <si>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</si>
  <si>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</si>
  <si>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</si>
  <si>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</si>
  <si>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</si>
  <si>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</si>
  <si>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</si>
  <si>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</si>
  <si>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</si>
  <si>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</si>
  <si>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</si>
  <si>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</si>
  <si>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</si>
  <si>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</si>
  <si>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</si>
  <si>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</si>
  <si>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</si>
  <si>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</si>
  <si>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</si>
  <si>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</si>
  <si>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</si>
  <si>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</si>
  <si>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</si>
  <si>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</si>
  <si>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</si>
  <si>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</si>
  <si>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</si>
  <si>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</si>
  <si>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</si>
  <si>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</si>
  <si>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</si>
  <si>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</si>
  <si>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</si>
  <si>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</si>
  <si>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</si>
  <si>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</si>
  <si>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</si>
  <si>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</si>
  <si>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</si>
  <si>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</si>
  <si>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</si>
  <si>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</si>
  <si>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</si>
  <si>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</si>
  <si>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</si>
  <si>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</si>
  <si>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</si>
  <si>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</si>
  <si>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</si>
  <si>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</si>
  <si>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</si>
  <si>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</si>
  <si>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</si>
  <si>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</si>
  <si>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</si>
  <si>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</si>
  <si>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</si>
  <si>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</si>
  <si>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</si>
  <si>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</si>
  <si>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</si>
  <si>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</si>
  <si>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</si>
  <si>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</si>
  <si>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</si>
  <si>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</si>
  <si>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</si>
  <si>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</si>
  <si>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</si>
  <si>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</si>
  <si>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</si>
  <si>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</si>
  <si>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</si>
  <si>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</si>
  <si>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</si>
  <si>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</si>
  <si>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</si>
  <si>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</si>
  <si>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</si>
  <si>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</si>
  <si>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</si>
  <si>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</si>
  <si>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</si>
  <si>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</si>
  <si>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</si>
  <si>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</si>
  <si>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</si>
  <si>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</si>
  <si>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</si>
  <si>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</si>
  <si>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</si>
  <si>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</si>
  <si>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</si>
  <si>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</si>
  <si>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</si>
  <si>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</si>
  <si>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</si>
  <si>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</si>
  <si>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</si>
  <si>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</si>
  <si>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</si>
  <si>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</si>
  <si>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</si>
  <si>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</si>
  <si>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</si>
  <si>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</si>
  <si>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</si>
  <si>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</si>
  <si>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</si>
  <si>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</si>
  <si>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</si>
  <si>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</si>
  <si>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</si>
  <si>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</si>
  <si>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</si>
  <si>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</si>
  <si>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</si>
  <si>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</si>
  <si>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</si>
  <si>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</si>
  <si>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</si>
  <si>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</si>
  <si>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</si>
  <si>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</si>
  <si>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</si>
  <si>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</si>
  <si>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</si>
  <si>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</si>
  <si>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</si>
  <si>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</si>
  <si>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</si>
  <si>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</si>
  <si>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</si>
  <si>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</si>
  <si>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</si>
  <si>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</si>
  <si>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</si>
  <si>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</si>
  <si>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</si>
  <si>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</si>
  <si>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</si>
  <si>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</si>
  <si>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</si>
  <si>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</si>
  <si>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</si>
  <si>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</si>
  <si>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</si>
  <si>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</si>
  <si>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</si>
  <si>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</si>
  <si>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</si>
  <si>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</si>
  <si>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</si>
  <si>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</si>
  <si>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</si>
  <si>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</si>
  <si>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</si>
  <si>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</si>
  <si>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</si>
  <si>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</si>
  <si>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</si>
  <si>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</si>
  <si>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</si>
  <si>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</si>
  <si>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</si>
  <si>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</si>
  <si>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</si>
  <si>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</si>
  <si>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</si>
  <si>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</si>
  <si>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</si>
  <si>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</si>
  <si>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</si>
  <si>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</si>
  <si>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</si>
  <si>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</si>
  <si>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</si>
  <si>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</si>
  <si>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</si>
  <si>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</si>
  <si>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</si>
  <si>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</si>
  <si>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</si>
  <si>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</si>
  <si>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</si>
  <si>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</si>
  <si>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</si>
  <si>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</si>
  <si>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</si>
  <si>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</si>
  <si>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</si>
  <si>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</si>
  <si>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</si>
  <si>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</si>
  <si>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</si>
  <si>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</si>
  <si>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</si>
  <si>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</si>
  <si>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</si>
  <si>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</si>
  <si>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</si>
  <si>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</si>
  <si>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</si>
  <si>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</si>
  <si>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</si>
  <si>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</si>
  <si>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</si>
  <si>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</si>
  <si>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</si>
  <si>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</si>
  <si>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</si>
  <si>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</si>
  <si>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</si>
  <si>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</si>
  <si>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</si>
  <si>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</si>
  <si>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</si>
  <si>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</si>
  <si>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</si>
  <si>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</si>
  <si>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</si>
  <si>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</si>
  <si>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</si>
  <si>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</si>
  <si>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</si>
  <si>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</si>
  <si>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</si>
  <si>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</si>
  <si>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</si>
  <si>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</si>
  <si>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</si>
  <si>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</si>
  <si>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</si>
  <si>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</si>
  <si>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</si>
  <si>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</si>
  <si>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</si>
  <si>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</si>
  <si>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</si>
  <si>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</si>
  <si>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</si>
  <si>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</si>
  <si>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</si>
  <si>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</si>
  <si>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</si>
  <si>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</si>
  <si>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</si>
  <si>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</si>
  <si>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</si>
  <si>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</si>
  <si>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</si>
  <si>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</si>
  <si>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</si>
  <si>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</si>
  <si>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</si>
  <si>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</si>
  <si>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</si>
  <si>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</si>
  <si>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</si>
  <si>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</si>
  <si>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</si>
  <si>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</si>
  <si>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</si>
  <si>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</si>
  <si>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</si>
  <si>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</si>
  <si>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</si>
  <si>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</si>
  <si>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</si>
  <si>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</si>
  <si>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</si>
  <si>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Nutzt Kubeflow, MLFlow. Service Mesh (Istio) für Traffic Management/Canary Rollouts.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</si>
  <si>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</si>
  <si>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</si>
  <si>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</si>
  <si>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Edge AI / Serverless Deployment</t>
  </si>
  <si>
    <t>Serverless Inference Endpoints zur Latenzreduzierung.</t>
  </si>
  <si>
    <t>Integrationskomplexität &amp; Vendor Lock-in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</si>
  <si>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</si>
  <si>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</si>
  <si>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</si>
  <si>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</si>
  <si>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</si>
  <si>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</si>
  <si>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</si>
  <si>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</si>
  <si>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</si>
  <si>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</si>
  <si>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</si>
  <si>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</si>
  <si>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</si>
  <si>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</si>
  <si>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</si>
  <si>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</si>
  <si>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</si>
  <si>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</si>
  <si>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</si>
  <si>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</si>
  <si>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</si>
  <si>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</si>
  <si>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</si>
  <si>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</si>
  <si>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</si>
  <si>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</si>
  <si>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</si>
  <si>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</si>
  <si>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</si>
  <si>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</si>
  <si>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</si>
  <si>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</si>
  <si>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</si>
  <si>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</si>
  <si>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</si>
  <si>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</si>
  <si>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</si>
  <si>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</si>
  <si>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</si>
  <si>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</si>
  <si>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</si>
  <si>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</si>
  <si>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</si>
  <si>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</si>
  <si>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</si>
  <si>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</si>
  <si>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</si>
  <si>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</si>
  <si>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</si>
  <si>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</si>
  <si>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</si>
  <si>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</si>
  <si>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Recheninfrastruktur (CPU, RAM, GPU) ist der Engpass.</t>
  </si>
  <si>
    <t>GPU-basierte Pipelines werden zur Ressourcennutzung empfohlen.</t>
  </si>
  <si>
    <t>MLOps umfasst Continuous Integration und Continuous Delivery (CI/CD).</t>
  </si>
  <si>
    <t>Monitoring zur Erkennung von Model Drift und Performance Degradation.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</si>
  <si>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</si>
  <si>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</si>
  <si>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</si>
  <si>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</si>
  <si>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</si>
  <si>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</si>
  <si>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</si>
  <si>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</si>
  <si>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</si>
  <si>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</si>
  <si>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</si>
  <si>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</si>
  <si>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</si>
  <si>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</si>
  <si>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</si>
  <si>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</si>
  <si>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</si>
  <si>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</si>
  <si>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</si>
  <si>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</si>
  <si>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</si>
  <si>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</si>
  <si>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</si>
  <si>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</si>
  <si>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</si>
  <si>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</si>
  <si>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</si>
  <si>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</si>
  <si>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</si>
  <si>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</si>
  <si>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</si>
  <si>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</si>
  <si>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</si>
  <si>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</si>
  <si>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</si>
  <si>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</si>
  <si>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</si>
  <si>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</si>
  <si>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</si>
  <si>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</si>
  <si>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</si>
  <si>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</si>
  <si>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</si>
  <si>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</si>
  <si>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</si>
  <si>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</si>
  <si>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</si>
  <si>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</si>
  <si>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</si>
  <si>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</si>
  <si>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</si>
  <si>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</si>
  <si>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</si>
  <si>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</si>
  <si>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</si>
  <si>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</si>
  <si>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</si>
  <si>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</si>
  <si>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</si>
  <si>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</si>
  <si>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</si>
  <si>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</si>
  <si>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</si>
  <si>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</si>
  <si>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</si>
  <si>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</si>
  <si>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</si>
  <si>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</si>
  <si>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</si>
  <si>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</si>
  <si>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</si>
  <si>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</si>
  <si>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</si>
  <si>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</si>
  <si>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</si>
  <si>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</si>
  <si>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</si>
  <si>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</si>
  <si>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</si>
  <si>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</si>
  <si>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</si>
  <si>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</si>
  <si>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</si>
  <si>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</si>
  <si>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</si>
  <si>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</si>
  <si>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</si>
  <si>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</si>
  <si>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</si>
  <si>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</si>
  <si>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</si>
  <si>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</si>
  <si>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</si>
  <si>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</si>
  <si>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</si>
  <si>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</si>
  <si>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</si>
  <si>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</si>
  <si>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</si>
  <si>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</si>
  <si>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</si>
  <si>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</si>
  <si>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</si>
  <si>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</si>
  <si>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</si>
  <si>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</si>
  <si>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</si>
  <si>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</si>
  <si>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</si>
  <si>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</si>
  <si>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</si>
  <si>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</si>
  <si>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</si>
  <si>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</si>
  <si>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</si>
  <si>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</si>
  <si>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</si>
  <si>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</si>
  <si>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</si>
  <si>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</si>
  <si>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</si>
  <si>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</si>
  <si>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</si>
  <si>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</si>
  <si>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</si>
  <si>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</si>
  <si>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</si>
  <si>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</si>
  <si>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</si>
  <si>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</si>
  <si>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</si>
  <si>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</si>
  <si>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</si>
  <si>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</si>
  <si>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</si>
  <si>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</si>
  <si>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</si>
  <si>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</si>
  <si>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</si>
  <si>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</si>
  <si>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</si>
  <si>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</si>
  <si>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</si>
  <si>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</si>
  <si>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</si>
  <si>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</si>
  <si>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</si>
  <si>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</si>
  <si>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</si>
  <si>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</si>
  <si>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</si>
  <si>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</si>
  <si>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</si>
  <si>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</si>
  <si>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</si>
  <si>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</si>
  <si>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</si>
  <si>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</si>
  <si>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</si>
  <si>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</si>
  <si>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</si>
  <si>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</si>
  <si>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</si>
  <si>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</si>
  <si>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</si>
  <si>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</si>
  <si>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</si>
  <si>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</si>
  <si>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</si>
  <si>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</si>
  <si>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</si>
  <si>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</si>
  <si>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</si>
  <si>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</si>
  <si>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</si>
  <si>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</si>
  <si>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</si>
  <si>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</si>
  <si>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</si>
  <si>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</si>
  <si>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</si>
  <si>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</si>
  <si>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</si>
  <si>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</si>
  <si>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</si>
  <si>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</si>
  <si>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</si>
  <si>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</si>
  <si>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</si>
  <si>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</si>
  <si>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</si>
  <si>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</si>
  <si>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</si>
  <si>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</si>
  <si>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</si>
  <si>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</si>
  <si>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</si>
  <si>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</si>
  <si>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</si>
  <si>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</si>
  <si>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</si>
  <si>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</si>
  <si>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</si>
  <si>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</si>
  <si>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</si>
  <si>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</si>
  <si>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</si>
  <si>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</si>
  <si>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</si>
  <si>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</si>
  <si>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</si>
  <si>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</si>
  <si>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</si>
  <si>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</si>
  <si>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</si>
  <si>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</si>
  <si>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</si>
  <si>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</si>
  <si>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</si>
  <si>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</si>
  <si>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</si>
  <si>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</si>
  <si>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</si>
  <si>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</si>
  <si>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</si>
  <si>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</si>
  <si>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</si>
  <si>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</si>
  <si>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</si>
  <si>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</si>
  <si>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</si>
  <si>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</si>
  <si>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</si>
  <si>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</si>
  <si>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</si>
  <si>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</si>
  <si>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</si>
  <si>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</si>
  <si>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</si>
  <si>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</si>
  <si>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</si>
  <si>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</si>
  <si>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</si>
  <si>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</si>
  <si>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</si>
  <si>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</si>
  <si>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</si>
  <si>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</si>
  <si>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</si>
  <si>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</si>
  <si>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</si>
  <si>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</si>
  <si>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</si>
  <si>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</si>
  <si>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</si>
  <si>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</si>
  <si>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</si>
  <si>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</si>
  <si>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</si>
  <si>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</si>
  <si>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</si>
  <si>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</si>
  <si>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</si>
  <si>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</si>
  <si>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</si>
  <si>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</si>
  <si>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</si>
  <si>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</si>
  <si>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</si>
  <si>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</si>
  <si>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</si>
  <si>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</si>
  <si>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</si>
  <si>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</si>
  <si>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</si>
  <si>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</si>
  <si>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</si>
  <si>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Vorwärts aus P7</t>
  </si>
  <si>
    <t>Alexander Keusch et al</t>
  </si>
  <si>
    <t>Platform-Agnostic MLOps on Edge, Fog and Cloud Platforms in
Industrial IoT</t>
  </si>
  <si>
    <t>MLOps Monitoring at Scale for Digital Platforms</t>
  </si>
  <si>
    <t>Yu Jeffrey Hu et al.</t>
  </si>
  <si>
    <t>P21 (Puthraya)</t>
  </si>
  <si>
    <t>P22 (Tamminedi)</t>
  </si>
  <si>
    <t>Novel Platform-Agnostic MLOps Framework (Abschnitt 1). Demonstration der Praktikabilität mit industriellen ML-Workflows (Abschnitt 1).</t>
  </si>
  <si>
    <t>Novel Monitoring Framework (MLMA) (Abschnitt 3.1). Design Science Ansatz zur Lösung des Problems des Monitoring at Scale (Abschnitt Abstract).</t>
  </si>
  <si>
    <t>Erweiterung der Anwendbarkeit auf andere Streaming-Daten-Anwendungen (z.B. E-Commerce, Finanzen, Smart Meters) (Abschnitt 7).</t>
  </si>
  <si>
    <t>MLOps Framework (Abstract). Fokus: Edge, Fog und Cloud Plattformen (Abstract). Architektur: Docker-fähige Geräte (Cloud Server, Fog Node, Edge Device). Datenmanagement über MQTT Broker.</t>
  </si>
  <si>
    <t>MLOps Monitoring Agent (MLMA) Framework (Abschnitt Abstract). Fokus: Continuous monitoring (Abschnitt 2.2, 2.3). Streaming Data Plattformen (Abschnitt Abstract). Steuerung des Re-Training Prozesses.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</si>
  <si>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</si>
  <si>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Experiment: Großer Skalentest auf einer Last-Mile-Delivery-Plattform (Abstract). Vergleich mit Benchmarks (Do nothing, Periodisch, On demand) (Abschnitt 4.3.3). Metriken: Forecast Accuracy (SMAPE), Labor Costs (USD/Monat), Computing Costs (CPU/CO2) (Abschnitt 5).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</si>
  <si>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</si>
  <si>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</si>
  <si>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Autor: Yu Jeffrey Hu et al 
2025
Arxiv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</si>
  <si>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</si>
  <si>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</si>
  <si>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</si>
  <si>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</si>
  <si>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</si>
  <si>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</si>
  <si>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</si>
  <si>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</si>
  <si>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</si>
  <si>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</si>
  <si>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</si>
  <si>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</si>
  <si>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</si>
  <si>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</si>
  <si>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</si>
  <si>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</si>
  <si>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</si>
  <si>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</si>
  <si>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</si>
  <si>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</si>
  <si>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</si>
  <si>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</si>
  <si>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</si>
  <si>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</si>
  <si>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</si>
  <si>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</si>
  <si>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</si>
  <si>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</si>
  <si>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</si>
  <si>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</si>
  <si>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</si>
  <si>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</si>
  <si>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</si>
  <si>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</si>
  <si>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</si>
  <si>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</si>
  <si>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</si>
  <si>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</si>
  <si>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</si>
  <si>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</si>
  <si>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Architektur</t>
  </si>
  <si>
    <t>für Anomalieerkennung, Threat Detection 3D</t>
  </si>
  <si>
    <t>Feinabstimmung von LLMs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</si>
  <si>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</si>
  <si>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</si>
  <si>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</si>
  <si>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</si>
  <si>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</si>
  <si>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</si>
  <si>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</si>
  <si>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</si>
  <si>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 xml:space="preserve">Random Forest, XG Boost 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</si>
  <si>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</si>
  <si>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</si>
  <si>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</si>
  <si>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</si>
  <si>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</si>
  <si>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</si>
  <si>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</si>
  <si>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</si>
  <si>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</si>
  <si>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</si>
  <si>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</si>
  <si>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</si>
  <si>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</si>
  <si>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</si>
  <si>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</si>
  <si>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</si>
  <si>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</si>
  <si>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</si>
  <si>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</si>
  <si>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</si>
  <si>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</si>
  <si>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</si>
  <si>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</si>
  <si>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Proactive maintenance und Predictive bug detection (Abschnitt 3).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</si>
  <si>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</si>
  <si>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</si>
  <si>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</si>
  <si>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</si>
  <si>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</si>
  <si>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</si>
  <si>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</si>
  <si>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</si>
  <si>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</si>
  <si>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</si>
  <si>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Automating resource allocation (Abstract).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</si>
  <si>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</si>
  <si>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</si>
  <si>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</si>
  <si>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</si>
  <si>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</si>
  <si>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</si>
  <si>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</si>
  <si>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</si>
  <si>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</si>
  <si>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</si>
  <si>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</si>
  <si>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</si>
  <si>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</si>
  <si>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</si>
  <si>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</si>
  <si>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</si>
  <si>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</si>
  <si>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(Abstract).</t>
  </si>
  <si>
    <t>Data management challenges (Abschnitt C).</t>
  </si>
  <si>
    <t>Data platform/quality für Training (Abschnitt 3).</t>
  </si>
  <si>
    <t>Intrusion Detection System (IDS) zur Erkennung von Angriffen in Cloud-Umgebungen (Abstract, Abschnitt I).</t>
  </si>
  <si>
    <t>Seamless integration of CI/CD pipelines (Abschnitt Benefits).</t>
  </si>
  <si>
    <t>Seamless integration of CI/CD pipelines (Abschnitt 3).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</si>
  <si>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</si>
  <si>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</si>
  <si>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</si>
  <si>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</si>
  <si>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Dynamic Resource Allocation durch Microservices (Abschnitt 3).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</si>
  <si>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</si>
  <si>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</si>
  <si>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</si>
  <si>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</si>
  <si>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</si>
  <si>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</si>
  <si>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</si>
  <si>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</si>
  <si>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</si>
  <si>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</si>
  <si>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</si>
  <si>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</si>
  <si>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</si>
  <si>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</si>
  <si>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</si>
  <si>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</si>
  <si>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</si>
  <si>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</si>
  <si>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Ensuring Trust and Compliance und Transparenz (Abschnitt 5.1).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</si>
  <si>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</si>
  <si>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</si>
  <si>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</si>
  <si>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</si>
  <si>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</si>
  <si>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</si>
  <si>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</si>
  <si>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</si>
  <si>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</si>
  <si>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</si>
  <si>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</si>
  <si>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</si>
  <si>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</si>
  <si>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</si>
  <si>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</si>
  <si>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</si>
  <si>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</si>
  <si>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</si>
  <si>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</si>
  <si>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</si>
  <si>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</si>
  <si>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</si>
  <si>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</si>
  <si>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</si>
  <si>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</si>
  <si>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</si>
  <si>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</si>
  <si>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</si>
  <si>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</si>
  <si>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</si>
  <si>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</si>
  <si>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</si>
  <si>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</si>
  <si>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</si>
  <si>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</si>
  <si>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</si>
  <si>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Metrikdaten werden aus AWS CloudWatch gesammelt. Daten-Preprozessing wird benötigt.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</si>
  <si>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</si>
  <si>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</si>
  <si>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re-training basierend auf Performance-Drift (Abstract, Abschnitt 1).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</si>
  <si>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</si>
  <si>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</si>
  <si>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</si>
  <si>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Forecasting demand and supply zur Optimierung der Arbeitsplanung (Abschnitt 1). On-demand platform forecasting (Abschnitt 4.1).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</si>
  <si>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</si>
  <si>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</si>
  <si>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</si>
  <si>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</si>
  <si>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</si>
  <si>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</si>
  <si>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MLMA erkennt Forecast Deterioration und triggert Re-Training (Abstract, Abschnitt 1).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</si>
  <si>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</si>
  <si>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</si>
  <si>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</si>
  <si>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</si>
  <si>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</si>
  <si>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</si>
  <si>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</si>
  <si>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</si>
  <si>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Ressourcenintensives periodisches Re-Training (Abschnitt 1). Hohe Labor and Computing Costs (Abschnitt 1, 5).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</si>
  <si>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</si>
  <si>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</si>
  <si>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</si>
  <si>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</si>
  <si>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Umgang mit streaming data bei high velocity (Abschnitt 1). Monitoring at scale (Abstract, Abschnitt 1).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</si>
  <si>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</si>
  <si>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</si>
  <si>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</si>
  <si>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Risk Management durch kontinuierliches Monitoring (Abschnitt 1). Interpretable Metrics für MLOps Engineer (Abschnitt 1, 3.4).</t>
  </si>
  <si>
    <t>Security in cloud-native ML als Forschungsbedarf (Abschnitt Limitations).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</si>
  <si>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</si>
  <si>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</si>
  <si>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</si>
  <si>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Portability across IT systems ist entscheidend (Abschnitt 1).</t>
  </si>
  <si>
    <t>Microservices Architecture löst Integrationskomplexität.</t>
  </si>
  <si>
    <t>Operational Complexity Reduction um 41% notwendig (Abschnitt 6.3, Table 2).</t>
  </si>
  <si>
    <t>Data privacy (Abschnitt III). Data management (Abschnitt IV).</t>
  </si>
  <si>
    <t>Data Management ist ein Design-Ziel des Frameworks (Abschnitt 1).</t>
  </si>
  <si>
    <t>Umgang mit streaming data und frequent shifts in den Datenströmen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</si>
  <si>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</si>
  <si>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</si>
  <si>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</si>
  <si>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t>ML-Pipeline-Komponenten: Data Preparation, Model Training, Model Serving (Seite 10 Challenges). Verbesserung von Cloud-Native-Systemen: Security (Bedrohungserkennung); Natural Language Processing (NLP) for Cluster Control (Seite 24 Natural); Smartere Orchestration/Scheduling.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</si>
  <si>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</si>
  <si>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</si>
  <si>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</si>
  <si>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</si>
  <si>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</si>
  <si>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</si>
  <si>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</si>
  <si>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</si>
  <si>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</si>
  <si>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</si>
  <si>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</si>
  <si>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</si>
  <si>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</si>
  <si>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</si>
  <si>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</si>
  <si>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</si>
  <si>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</si>
  <si>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</si>
  <si>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</si>
  <si>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</si>
  <si>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</si>
  <si>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</si>
  <si>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</si>
  <si>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</si>
  <si>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in Forecasting und Random Forest Model)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Random Forest (Tree/Ensemble Methods)
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</si>
  <si>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</si>
  <si>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</si>
  <si>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</si>
  <si>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</si>
  <si>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</si>
  <si>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</si>
  <si>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</si>
  <si>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</si>
  <si>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</si>
  <si>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</si>
  <si>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</si>
  <si>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</si>
  <si>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</si>
  <si>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</si>
  <si>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</si>
  <si>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</si>
  <si>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</si>
  <si>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</si>
  <si>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</si>
  <si>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</si>
  <si>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</si>
  <si>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</si>
  <si>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</si>
  <si>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</si>
  <si>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</si>
  <si>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</si>
  <si>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</si>
  <si>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</si>
  <si>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</si>
  <si>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</si>
  <si>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</si>
  <si>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</si>
  <si>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</si>
  <si>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</si>
  <si>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</si>
  <si>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</si>
  <si>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</si>
  <si>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</si>
  <si>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</si>
  <si>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</si>
  <si>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</si>
  <si>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</si>
  <si>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</si>
  <si>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</si>
  <si>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</si>
  <si>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</si>
  <si>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</si>
  <si>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</si>
  <si>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</si>
  <si>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</si>
  <si>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</si>
  <si>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</si>
  <si>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</si>
  <si>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</si>
  <si>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</si>
  <si>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</si>
  <si>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</si>
  <si>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</si>
  <si>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</si>
  <si>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</si>
  <si>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</si>
  <si>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</si>
  <si>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</si>
  <si>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</si>
  <si>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</si>
  <si>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</si>
  <si>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</si>
  <si>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</si>
  <si>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</si>
  <si>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</si>
  <si>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</si>
  <si>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</si>
  <si>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</si>
  <si>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</si>
  <si>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</si>
  <si>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r>
      <rPr>
        <b/>
        <sz val="10"/>
        <color theme="1"/>
        <rFont val="Arial"/>
        <family val="2"/>
      </rPr>
      <t>Effizienz Steigerung und Zuverlässigkeit CI/CD Pipeline</t>
    </r>
    <r>
      <rPr>
        <sz val="10"/>
        <color theme="1"/>
        <rFont val="Arial"/>
        <family val="2"/>
      </rPr>
      <t xml:space="preserve">
Build Failure Prediction (Abschnitt 3.1); Test Case Prioritization (Abschnitt 3.2); Anomaly Detection (Real-time detection); Dynamische Resource Allocation; Adaptive Deployment Strategies und Rollbacks.</t>
    </r>
  </si>
  <si>
    <r>
      <rPr>
        <b/>
        <sz val="10"/>
        <color theme="1"/>
        <rFont val="Arial"/>
        <family val="2"/>
      </rPr>
      <t>Ressourcen &amp; Workload-Optimierung</t>
    </r>
    <r>
      <rPr>
        <sz val="10"/>
        <color theme="1"/>
        <rFont val="Arial"/>
        <family val="2"/>
      </rPr>
      <t xml:space="preserve">
Großskalige (Large-Scale) AI-Basierte Prädiktive Modellierung (Definition 1.1). </t>
    </r>
  </si>
  <si>
    <r>
      <rPr>
        <b/>
        <sz val="10"/>
        <rFont val="Arial"/>
        <family val="2"/>
      </rPr>
      <t>CI/CD Automatisierung &amp; Pipeline Opitmierung</t>
    </r>
    <r>
      <rPr>
        <sz val="10"/>
        <rFont val="Arial"/>
        <family val="2"/>
      </rPr>
      <t xml:space="preserve">
Automated Code Generation (Abschnitt 5.1); AI-Driven CI/CD Pipelines (Abschnitt 5.2); AI-Based Testing Frameworks (Abschnitt 5.3); Predictive Bug Detection; Skalierung und Deployment von AI-Anwendungen (Abstract).</t>
    </r>
  </si>
  <si>
    <r>
      <rPr>
        <b/>
        <sz val="10"/>
        <rFont val="Arial"/>
        <family val="2"/>
      </rPr>
      <t>CI/CD Automaitiseung</t>
    </r>
    <r>
      <rPr>
        <sz val="10"/>
        <rFont val="Arial"/>
        <family val="2"/>
      </rPr>
      <t xml:space="preserve"> 
Automatisierung und Operationalisierung des gesamten ML-Lebenszyklus (MLOps) (Abstract). Workflow Orchestration; Kontinuierliches ML Training; Ziel: Überbrückung der Kluft zwischen Data Science, DevOps und Software Engineering (VII. Conceptualization).</t>
    </r>
  </si>
  <si>
    <r>
      <rPr>
        <b/>
        <sz val="10"/>
        <rFont val="Arial"/>
        <family val="2"/>
      </rPr>
      <t>CI/CD Automaitisierung</t>
    </r>
    <r>
      <rPr>
        <sz val="10"/>
        <rFont val="Arial"/>
        <family val="2"/>
      </rPr>
      <t xml:space="preserve">
Prototyping einer ML-Pipeline zur Entscheidungsfindung in der Fertigung (Manufacturing) (Abschnitt IV. Case Study). Implementierung einer Cloud-Native CI/CD-Pipeline-Plattform; Ziel: Verkürzung der Trainings- und Deployment-Zyklen (Abschnitt V. Conclusion).</t>
    </r>
  </si>
  <si>
    <r>
      <rPr>
        <b/>
        <sz val="10"/>
        <rFont val="Arial"/>
        <family val="2"/>
      </rPr>
      <t xml:space="preserve">Sicherheit &amp; Bedrohungserkennung: </t>
    </r>
    <r>
      <rPr>
        <sz val="10"/>
        <rFont val="Arial"/>
        <family val="2"/>
      </rPr>
      <t>Erkennung von Angriffen/Intrusion Detection in Cloud-Plattformen (Abstract). Speziell: DDoS-Angriffe (Abschnitt A. Dataset description).</t>
    </r>
  </si>
  <si>
    <r>
      <rPr>
        <b/>
        <sz val="10"/>
        <rFont val="Arial"/>
        <family val="2"/>
      </rPr>
      <t>Ressourcen &amp; Workload Optimierung:</t>
    </r>
    <r>
      <rPr>
        <sz val="10"/>
        <rFont val="Arial"/>
        <family val="2"/>
      </rPr>
      <t xml:space="preserve"> Optimierung von AI-driven decision-making (Abstract). Einsatz von Batch und Real-Time Inference (Abstract).</t>
    </r>
  </si>
  <si>
    <r>
      <rPr>
        <b/>
        <sz val="10"/>
        <rFont val="Arial"/>
        <family val="2"/>
      </rPr>
      <t>Ressourcen &amp; Workload Optimierung:</t>
    </r>
    <r>
      <rPr>
        <sz val="10"/>
        <rFont val="Arial"/>
        <family val="2"/>
      </rPr>
      <t xml:space="preserve"> Training, Serving, Skalierung und Optimierung von Large Generative Models (LLMs) (Abstract). LoRA Inference (Abschnitt 4 Preliminary AI-Native Computing).</t>
    </r>
  </si>
  <si>
    <r>
      <rPr>
        <b/>
        <sz val="10"/>
        <color theme="1"/>
        <rFont val="Arial"/>
        <family val="2"/>
      </rPr>
      <t>Automatisierung und Optimierung CI/CD</t>
    </r>
    <r>
      <rPr>
        <sz val="10"/>
        <color theme="1"/>
        <rFont val="Arial"/>
        <family val="2"/>
      </rPr>
      <t xml:space="preserve"> durch 
Build Fehler predicition
Testing und Sicherheitsscan automatisieren (3B)
Workload Optimization (3E)</t>
    </r>
  </si>
  <si>
    <r>
      <rPr>
        <b/>
        <sz val="10"/>
        <rFont val="Arial"/>
        <family val="2"/>
      </rPr>
      <t>Sicherheits und Bedrohungserkennung:</t>
    </r>
    <r>
      <rPr>
        <sz val="10"/>
        <rFont val="Arial"/>
        <family val="2"/>
      </rPr>
      <t xml:space="preserve"> Cybersecurity Risk Modeling (Titel), Test Optimization (Titel). Ziel: Maximierung der Ressourcenzuweisung, Minimierung von Sicherheitslücken (Abstract).</t>
    </r>
  </si>
  <si>
    <r>
      <rPr>
        <b/>
        <sz val="10"/>
        <rFont val="Arial"/>
        <family val="2"/>
      </rPr>
      <t xml:space="preserve">Sicherheits und Bedrohungserkennung: </t>
    </r>
    <r>
      <rPr>
        <sz val="10"/>
        <rFont val="Arial"/>
        <family val="2"/>
      </rPr>
      <t>Real-time identification and mitigation von advanced cyber threats in der Cloud (Abstract). Ziel: Threat classification, Automated response (Abschnitt 3. Proposed Architecture).</t>
    </r>
  </si>
  <si>
    <r>
      <rPr>
        <b/>
        <sz val="10"/>
        <rFont val="Arial"/>
        <family val="2"/>
      </rPr>
      <t>Resourcen &amp; Workload Optimierung:</t>
    </r>
    <r>
      <rPr>
        <sz val="10"/>
        <rFont val="Arial"/>
        <family val="2"/>
      </rPr>
      <t xml:space="preserve"> Intelligent Auto-Scaling (Titel). Ziel: Reduzierung von Betriebskosten und Verbesserung der Performance-Zuverlässigkeit durch proaktive Vorhersage (Abstract).</t>
    </r>
  </si>
  <si>
    <r>
      <rPr>
        <b/>
        <sz val="10"/>
        <rFont val="Arial"/>
        <family val="2"/>
      </rPr>
      <t xml:space="preserve">CI/CD Automatisierung: </t>
    </r>
    <r>
      <rPr>
        <sz val="10"/>
        <rFont val="Arial"/>
        <family val="2"/>
      </rPr>
      <t>Predictive Failure Detection, Automated Rollbacks, und Adaptive Deployment Strategies (Abstract).</t>
    </r>
  </si>
  <si>
    <r>
      <rPr>
        <b/>
        <sz val="10"/>
        <rFont val="Arial"/>
        <family val="2"/>
      </rPr>
      <t xml:space="preserve">CI/CD Automatisierung / Optimierung: </t>
    </r>
    <r>
      <rPr>
        <sz val="10"/>
        <rFont val="Arial"/>
        <family val="2"/>
      </rPr>
      <t>Predictive Analytics (Vorhersage von Downtimes)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</si>
  <si>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CI/CD Automatisierung / Optimierung:</t>
    </r>
    <r>
      <rPr>
        <sz val="10"/>
        <rFont val="Arial"/>
        <family val="2"/>
      </rPr>
      <t xml:space="preserve"> Verbesserung der Agilität, Zuverlässigkeit und Effizienz der CI/CD-Pipelines (Abstract). Speziell: Predictive Maintenance (Abschnitt 3.1 Predictive Maintenance), Automatisiertes Testing (Abschnitt 1.8 Unit Testing).</t>
    </r>
  </si>
  <si>
    <r>
      <rPr>
        <b/>
        <sz val="10"/>
        <rFont val="Arial"/>
        <family val="2"/>
      </rPr>
      <t>Resourcen &amp; Workload Optimierung</t>
    </r>
    <r>
      <rPr>
        <sz val="10"/>
        <rFont val="Arial"/>
        <family val="2"/>
      </rPr>
      <t>: Beschleunigung von ML-Workflows (Titel). Anwendungen: E-commerce personalization, Financial risk modeling, Healthcare diagnostics (Abschnitt Improved Scalability in Cloud-Native Environments).</t>
    </r>
  </si>
  <si>
    <r>
      <rPr>
        <b/>
        <sz val="10"/>
        <rFont val="Arial"/>
        <family val="2"/>
      </rPr>
      <t xml:space="preserve">Self-Healing/ Predictive Maintenance </t>
    </r>
    <r>
      <rPr>
        <sz val="10"/>
        <rFont val="Arial"/>
        <family val="2"/>
      </rPr>
      <t>(Abstract), Intelligent Resource Allocation (Abstract), Security Enhancement (Abschnitt 3.4 Security Enhancement) und automatisierte Anomalieerkennung (Abstract). Ziel: Reduzierung der manuellen Aufgaben (Abschnitt 3.1 Intelligent Automation).</t>
    </r>
  </si>
  <si>
    <r>
      <rPr>
        <b/>
        <sz val="10"/>
        <rFont val="Arial"/>
        <family val="2"/>
      </rPr>
      <t>Self-Healing / Predictive Maintenance:</t>
    </r>
    <r>
      <rPr>
        <sz val="10"/>
        <rFont val="Arial"/>
        <family val="2"/>
      </rPr>
      <t xml:space="preserve"> Management und Skalierung von ML-Modellen in Produktionsumgebungen (Abstract). Demand Forecasting auf digitalen Plattformen (Abschnitt 4.1). Ziel: Produktivitätsgewinne für MLOps Engineers.</t>
    </r>
  </si>
  <si>
    <r>
      <rPr>
        <b/>
        <sz val="10"/>
        <rFont val="Arial"/>
        <family val="2"/>
      </rPr>
      <t xml:space="preserve">Edge AI / Serverless Deployment: </t>
    </r>
    <r>
      <rPr>
        <sz val="10"/>
        <rFont val="Arial"/>
        <family val="2"/>
      </rPr>
      <t>Kostenminimierung (Cost Optimization) (Abschnitt III. Challenges in Deployment), Verbesserung der Inferenzleistung (Abschnitt I. Introduction), Skalierung von Large-Scale ML Models (Abstract).</t>
    </r>
  </si>
  <si>
    <r>
      <rPr>
        <b/>
        <sz val="10"/>
        <rFont val="Arial"/>
        <family val="2"/>
      </rPr>
      <t>Edge AI / Serverless Deployment</t>
    </r>
    <r>
      <rPr>
        <sz val="10"/>
        <rFont val="Arial"/>
        <family val="2"/>
      </rPr>
      <t>: Entwicklung und Deployment von AI-Lösungen in industriellen Anwendungen (Abstract). Spezifische Workflows: PCB Quality Inspection (Klassifikation) und Inertial Measurement Classification (Aktionserkennung).</t>
    </r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</si>
  <si>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</si>
  <si>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</si>
  <si>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</si>
  <si>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</si>
  <si>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</si>
  <si>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</si>
  <si>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</si>
  <si>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</si>
  <si>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P19  (Yu Jeffrey Hu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</si>
  <si>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</si>
  <si>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</si>
  <si>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</si>
  <si>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</si>
  <si>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</si>
  <si>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</si>
  <si>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</si>
  <si>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</si>
  <si>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</si>
  <si>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</si>
  <si>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</si>
  <si>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</si>
  <si>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</si>
  <si>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</si>
  <si>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</si>
  <si>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</si>
  <si>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</si>
  <si>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</si>
  <si>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</si>
  <si>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</si>
  <si>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</si>
  <si>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</si>
  <si>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</si>
  <si>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</si>
  <si>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</si>
  <si>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</si>
  <si>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</si>
  <si>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</si>
  <si>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</si>
  <si>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</si>
  <si>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</si>
  <si>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</si>
  <si>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</si>
  <si>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NN</t>
  </si>
  <si>
    <t>CNN, LSTM, BERT</t>
  </si>
  <si>
    <t>Regression modelling</t>
  </si>
  <si>
    <t>Principal Component Analysis</t>
  </si>
  <si>
    <t xml:space="preserve">AI Governance &amp; Security 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</si>
  <si>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</si>
  <si>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</si>
  <si>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</si>
  <si>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 xml:space="preserve">Datenmanagement &amp; Qualität </t>
  </si>
  <si>
    <t>Data Privacy and Security (2.7)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</si>
  <si>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</si>
  <si>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</si>
  <si>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</si>
  <si>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</si>
  <si>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</si>
  <si>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</si>
  <si>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</si>
  <si>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</si>
  <si>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</si>
  <si>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</si>
  <si>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Focus auf SL Algorithmen, Random Forest (Ensemle Methods)</t>
  </si>
  <si>
    <t>Hybrid clustering und k-emans with random forest (RF eigentlich SL)</t>
  </si>
  <si>
    <t>UL Verfahren zur Analyse der variablen (durch PCA)</t>
  </si>
  <si>
    <t>ML algorthmen allgemein (raus lassen)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</si>
</sst>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0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2" fillId="2" borderId="1" xfId="0" applyNumberFormat="1" applyFont="1" applyFill="1" applyBorder="1" applyAlignment="1">
      <alignment vertical="top" wrapText="1"/>
    </xf>
    <xf numFmtId="0" fontId="3" fillId="2" borderId="1" xfId="0" applyNumberFormat="1" applyFont="1" applyFill="1" applyBorder="1" applyAlignment="1">
      <alignment vertical="top" wrapText="1"/>
    </xf>
    <xf numFmtId="0" fontId="0" fillId="0" borderId="0" xfId="0" applyNumberFormat="1"/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6" fillId="0" borderId="0" xfId="0" applyFont="1" applyBorder="1" applyAlignment="1">
      <alignment vertical="top" wrapText="1"/>
    </xf>
    <xf numFmtId="0" fontId="0" fillId="0" borderId="0" xfId="0" applyBorder="1"/>
    <xf numFmtId="0" fontId="7" fillId="0" borderId="0" xfId="0" applyFont="1" applyBorder="1"/>
    <xf numFmtId="0" fontId="0" fillId="0" borderId="0" xfId="0" applyBorder="1" applyAlignment="1">
      <alignment vertical="top" wrapText="1"/>
    </xf>
    <xf numFmtId="0" fontId="7" fillId="0" borderId="0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NumberFormat="1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NumberFormat="1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NumberFormat="1" applyFont="1" applyFill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NumberFormat="1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NumberFormat="1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15" fillId="2" borderId="1" xfId="0" applyNumberFormat="1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0" fillId="0" borderId="0" xfId="0" applyFill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Fill="1" applyBorder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0" borderId="2" xfId="0" applyFont="1" applyFill="1" applyBorder="1" applyAlignment="1">
      <alignment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2" fillId="0" borderId="9" xfId="0" applyFont="1" applyFill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2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2" fillId="0" borderId="4" xfId="0" applyFont="1" applyFill="1" applyBorder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Border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20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54296875" customWidth="1"/>
    <col min="3" max="3" width="57.26953125" customWidth="1"/>
    <col min="4" max="4" width="46" style="4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2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3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3" t="s">
        <v>28</v>
      </c>
    </row>
    <row r="4" spans="1:9" ht="34" customHeight="1" thickBot="1" x14ac:dyDescent="0.4">
      <c r="A4" s="25" t="s">
        <v>4</v>
      </c>
      <c r="B4" s="25" t="s">
        <v>55</v>
      </c>
      <c r="C4" s="25" t="s">
        <v>32</v>
      </c>
      <c r="D4" s="26" t="s">
        <v>28</v>
      </c>
    </row>
    <row r="5" spans="1:9" ht="36.5" customHeight="1" thickBot="1" x14ac:dyDescent="0.4">
      <c r="A5" s="23" t="s">
        <v>5</v>
      </c>
      <c r="B5" s="23" t="s">
        <v>56</v>
      </c>
      <c r="C5" s="23" t="s">
        <v>33</v>
      </c>
      <c r="D5" s="24" t="s">
        <v>28</v>
      </c>
      <c r="G5" s="135" t="s">
        <v>281</v>
      </c>
      <c r="H5" s="135"/>
      <c r="I5" s="135"/>
    </row>
    <row r="6" spans="1:9" ht="46" customHeight="1" thickBot="1" x14ac:dyDescent="0.4">
      <c r="A6" s="27" t="s">
        <v>6</v>
      </c>
      <c r="B6" s="27" t="s">
        <v>57</v>
      </c>
      <c r="C6" s="27" t="s">
        <v>34</v>
      </c>
      <c r="D6" s="28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3" t="str">
        <f>"Rückwärts aus " &amp; A2</f>
        <v>Rückwärts aus P1</v>
      </c>
      <c r="G7" s="136" t="s">
        <v>284</v>
      </c>
      <c r="H7" s="136"/>
      <c r="I7" s="136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3" t="str">
        <f>"Rückwärts aus " &amp; A2</f>
        <v>Rückwärts aus P1</v>
      </c>
      <c r="G8" s="136"/>
      <c r="H8" s="136"/>
      <c r="I8" s="136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3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3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3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3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3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3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3" t="str">
        <f>"Rückwärts aus " &amp; A3</f>
        <v>Rückwärts aus P2</v>
      </c>
    </row>
    <row r="16" spans="1:9" ht="30.5" customHeight="1" thickBot="1" x14ac:dyDescent="0.4">
      <c r="A16" s="25" t="s">
        <v>16</v>
      </c>
      <c r="B16" s="25" t="s">
        <v>67</v>
      </c>
      <c r="C16" s="25" t="s">
        <v>44</v>
      </c>
      <c r="D16" s="26" t="str">
        <f>"Vorwärts aus " &amp; A4</f>
        <v>Vorwärts aus P3</v>
      </c>
    </row>
    <row r="17" spans="1:4" ht="48" customHeight="1" thickBot="1" x14ac:dyDescent="0.4">
      <c r="A17" s="23" t="s">
        <v>17</v>
      </c>
      <c r="B17" s="23" t="s">
        <v>68</v>
      </c>
      <c r="C17" s="23" t="s">
        <v>45</v>
      </c>
      <c r="D17" s="24" t="str">
        <f>"Vorwärts aus " &amp; A5</f>
        <v>Vorwärts aus P4</v>
      </c>
    </row>
    <row r="18" spans="1:4" ht="41.5" customHeight="1" thickBot="1" x14ac:dyDescent="0.4">
      <c r="A18" s="23" t="s">
        <v>18</v>
      </c>
      <c r="B18" s="23" t="s">
        <v>56</v>
      </c>
      <c r="C18" s="23" t="s">
        <v>46</v>
      </c>
      <c r="D18" s="24" t="str">
        <f>"Rückwärts aus " &amp; A5</f>
        <v>Rückwärts aus P4</v>
      </c>
    </row>
    <row r="19" spans="1:4" ht="30" customHeight="1" thickBot="1" x14ac:dyDescent="0.4">
      <c r="A19" s="27" t="s">
        <v>19</v>
      </c>
      <c r="B19" s="27" t="s">
        <v>69</v>
      </c>
      <c r="C19" s="27" t="s">
        <v>47</v>
      </c>
      <c r="D19" s="28" t="str">
        <f>"Vorwärts aus " &amp; A6</f>
        <v>Vorwärts aus P5</v>
      </c>
    </row>
    <row r="20" spans="1:4" ht="28" customHeight="1" thickBot="1" x14ac:dyDescent="0.4">
      <c r="A20" s="27" t="s">
        <v>20</v>
      </c>
      <c r="B20" s="27" t="s">
        <v>70</v>
      </c>
      <c r="C20" s="27" t="s">
        <v>48</v>
      </c>
      <c r="D20" s="28" t="str">
        <f>"Vorwärts aus " &amp; A6</f>
        <v>Vorwärts aus P5</v>
      </c>
    </row>
    <row r="21" spans="1:4" ht="35" customHeight="1" thickBot="1" x14ac:dyDescent="0.4">
      <c r="A21" s="27" t="s">
        <v>21</v>
      </c>
      <c r="B21" s="27" t="s">
        <v>71</v>
      </c>
      <c r="C21" s="27" t="s">
        <v>49</v>
      </c>
      <c r="D21" s="28" t="str">
        <f>"Rückwärts aus " &amp; A6</f>
        <v>Rückwärts aus P5</v>
      </c>
    </row>
    <row r="22" spans="1:4" ht="36.5" customHeight="1" thickBot="1" x14ac:dyDescent="0.4">
      <c r="A22" s="23" t="s">
        <v>22</v>
      </c>
      <c r="B22" s="23" t="s">
        <v>72</v>
      </c>
      <c r="C22" s="23" t="s">
        <v>50</v>
      </c>
      <c r="D22" s="24" t="str">
        <f>"Rückwärts aus " &amp; A17</f>
        <v>Rückwärts aus P16</v>
      </c>
    </row>
    <row r="23" spans="1:4" ht="43" customHeight="1" thickBot="1" x14ac:dyDescent="0.4">
      <c r="A23" s="27" t="s">
        <v>23</v>
      </c>
      <c r="B23" s="27" t="s">
        <v>73</v>
      </c>
      <c r="C23" s="27" t="s">
        <v>51</v>
      </c>
      <c r="D23" s="28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3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3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3" t="str">
        <f>"Vorwärts aus " &amp; A9</f>
        <v>Vorwärts aus P8</v>
      </c>
    </row>
    <row r="27" spans="1:4" ht="26.5" thickBot="1" x14ac:dyDescent="0.4">
      <c r="A27" s="1" t="s">
        <v>27</v>
      </c>
      <c r="C27" s="5"/>
    </row>
    <row r="28" spans="1:4" ht="15" thickBot="1" x14ac:dyDescent="0.4">
      <c r="A28" s="1" t="s">
        <v>78</v>
      </c>
      <c r="C28" s="6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18" zoomScale="85" zoomScaleNormal="85" workbookViewId="0">
      <selection activeCell="J10" sqref="J10"/>
    </sheetView>
  </sheetViews>
  <sheetFormatPr baseColWidth="10" defaultRowHeight="14.5" x14ac:dyDescent="0.35"/>
  <cols>
    <col min="2" max="2" width="31.54296875" customWidth="1"/>
    <col min="3" max="3" width="74" customWidth="1"/>
    <col min="4" max="4" width="46" style="4" customWidth="1"/>
  </cols>
  <sheetData>
    <row r="1" spans="1:12" ht="15" thickBot="1" x14ac:dyDescent="0.4">
      <c r="A1" s="55" t="s">
        <v>74</v>
      </c>
      <c r="B1" s="55" t="s">
        <v>52</v>
      </c>
      <c r="C1" s="55" t="s">
        <v>29</v>
      </c>
      <c r="D1" s="56" t="s">
        <v>1</v>
      </c>
    </row>
    <row r="2" spans="1:12" ht="35.5" customHeight="1" thickBot="1" x14ac:dyDescent="0.4">
      <c r="A2" s="53" t="s">
        <v>2</v>
      </c>
      <c r="B2" s="53" t="s">
        <v>482</v>
      </c>
      <c r="C2" s="53" t="s">
        <v>30</v>
      </c>
      <c r="D2" s="54" t="s">
        <v>28</v>
      </c>
      <c r="G2" s="29"/>
      <c r="H2" s="29"/>
      <c r="I2" s="29"/>
      <c r="J2" s="16"/>
      <c r="K2" s="16"/>
      <c r="L2" s="16"/>
    </row>
    <row r="3" spans="1:12" ht="30" customHeight="1" thickBot="1" x14ac:dyDescent="0.4">
      <c r="A3" s="53" t="s">
        <v>3</v>
      </c>
      <c r="B3" s="53" t="s">
        <v>54</v>
      </c>
      <c r="C3" s="53" t="s">
        <v>31</v>
      </c>
      <c r="D3" s="54" t="s">
        <v>28</v>
      </c>
    </row>
    <row r="4" spans="1:12" ht="30" customHeight="1" thickBot="1" x14ac:dyDescent="0.4">
      <c r="A4" s="53" t="s">
        <v>4</v>
      </c>
      <c r="B4" s="53" t="s">
        <v>69</v>
      </c>
      <c r="C4" s="53" t="s">
        <v>47</v>
      </c>
      <c r="D4" s="54" t="s">
        <v>28</v>
      </c>
      <c r="G4" s="15"/>
      <c r="H4" s="15"/>
      <c r="I4" s="15"/>
    </row>
    <row r="5" spans="1:12" ht="30" customHeight="1" thickBot="1" x14ac:dyDescent="0.4">
      <c r="A5" s="53" t="s">
        <v>5</v>
      </c>
      <c r="B5" s="53" t="s">
        <v>279</v>
      </c>
      <c r="C5" s="53" t="s">
        <v>280</v>
      </c>
      <c r="D5" s="54" t="s">
        <v>28</v>
      </c>
    </row>
    <row r="6" spans="1:12" ht="33.5" customHeight="1" thickBot="1" x14ac:dyDescent="0.4">
      <c r="A6" s="25" t="s">
        <v>6</v>
      </c>
      <c r="B6" s="25" t="s">
        <v>58</v>
      </c>
      <c r="C6" s="25" t="s">
        <v>35</v>
      </c>
      <c r="D6" s="26" t="str">
        <f>"Rückwärts aus " &amp; A2</f>
        <v>Rückwärts aus P1</v>
      </c>
    </row>
    <row r="7" spans="1:12" ht="30.5" customHeight="1" thickBot="1" x14ac:dyDescent="0.4">
      <c r="A7" s="25" t="s">
        <v>7</v>
      </c>
      <c r="B7" s="25" t="s">
        <v>59</v>
      </c>
      <c r="C7" s="25" t="s">
        <v>36</v>
      </c>
      <c r="D7" s="26" t="str">
        <f>"Rückwärts aus " &amp; A2</f>
        <v>Rückwärts aus P1</v>
      </c>
    </row>
    <row r="8" spans="1:12" ht="21.5" customHeight="1" thickBot="1" x14ac:dyDescent="0.4">
      <c r="A8" s="25" t="s">
        <v>8</v>
      </c>
      <c r="B8" s="25" t="s">
        <v>60</v>
      </c>
      <c r="C8" s="25" t="s">
        <v>37</v>
      </c>
      <c r="D8" s="26" t="str">
        <f>"Rückwärts aus " &amp; A2</f>
        <v>Rückwärts aus P1</v>
      </c>
    </row>
    <row r="9" spans="1:12" ht="29" customHeight="1" thickBot="1" x14ac:dyDescent="0.4">
      <c r="A9" s="25" t="s">
        <v>9</v>
      </c>
      <c r="B9" s="25" t="s">
        <v>61</v>
      </c>
      <c r="C9" s="25" t="s">
        <v>38</v>
      </c>
      <c r="D9" s="26" t="str">
        <f>"Rückwärts aus " &amp; A2</f>
        <v>Rückwärts aus P1</v>
      </c>
    </row>
    <row r="10" spans="1:12" ht="31" customHeight="1" thickBot="1" x14ac:dyDescent="0.4">
      <c r="A10" s="25" t="s">
        <v>10</v>
      </c>
      <c r="B10" s="25" t="s">
        <v>62</v>
      </c>
      <c r="C10" s="25" t="s">
        <v>39</v>
      </c>
      <c r="D10" s="26" t="str">
        <f>"Rückwärts aus " &amp; A2</f>
        <v>Rückwärts aus P1</v>
      </c>
    </row>
    <row r="11" spans="1:12" ht="25" customHeight="1" thickBot="1" x14ac:dyDescent="0.4">
      <c r="A11" s="25" t="s">
        <v>11</v>
      </c>
      <c r="B11" s="25" t="s">
        <v>1065</v>
      </c>
      <c r="C11" s="25" t="s">
        <v>277</v>
      </c>
      <c r="D11" s="26" t="s">
        <v>278</v>
      </c>
    </row>
    <row r="12" spans="1:12" ht="34.5" customHeight="1" thickBot="1" x14ac:dyDescent="0.4">
      <c r="A12" s="30" t="s">
        <v>12</v>
      </c>
      <c r="B12" s="30" t="s">
        <v>63</v>
      </c>
      <c r="C12" s="30" t="s">
        <v>40</v>
      </c>
      <c r="D12" s="31" t="str">
        <f>"Vorwärts aus " &amp; A3</f>
        <v>Vorwärts aus P2</v>
      </c>
    </row>
    <row r="13" spans="1:12" ht="32.5" customHeight="1" thickBot="1" x14ac:dyDescent="0.4">
      <c r="A13" s="25" t="s">
        <v>13</v>
      </c>
      <c r="B13" s="25" t="s">
        <v>65</v>
      </c>
      <c r="C13" s="25" t="s">
        <v>42</v>
      </c>
      <c r="D13" s="26" t="str">
        <f>"Rückwärts aus " &amp; A3</f>
        <v>Rückwärts aus P2</v>
      </c>
    </row>
    <row r="14" spans="1:12" ht="29" customHeight="1" thickBot="1" x14ac:dyDescent="0.4">
      <c r="A14" s="25" t="s">
        <v>14</v>
      </c>
      <c r="B14" s="25" t="s">
        <v>66</v>
      </c>
      <c r="C14" s="25" t="s">
        <v>43</v>
      </c>
      <c r="D14" s="26" t="str">
        <f>"Rückwärts aus " &amp; A3</f>
        <v>Rückwärts aus P2</v>
      </c>
    </row>
    <row r="15" spans="1:12" ht="42.5" thickBot="1" x14ac:dyDescent="0.4">
      <c r="A15" s="25" t="s">
        <v>15</v>
      </c>
      <c r="B15" s="25" t="s">
        <v>64</v>
      </c>
      <c r="C15" s="25" t="s">
        <v>41</v>
      </c>
      <c r="D15" s="26" t="str">
        <f>"Rückwärts aus " &amp; A4</f>
        <v>Rückwärts aus P3</v>
      </c>
    </row>
    <row r="16" spans="1:12" ht="28.5" thickBot="1" x14ac:dyDescent="0.4">
      <c r="A16" s="25" t="s">
        <v>16</v>
      </c>
      <c r="B16" s="25" t="s">
        <v>73</v>
      </c>
      <c r="C16" s="25" t="s">
        <v>51</v>
      </c>
      <c r="D16" s="26" t="str">
        <f>"Rückwärts aus " &amp; A4</f>
        <v>Rückwärts aus P3</v>
      </c>
    </row>
    <row r="17" spans="1:4" ht="28.5" thickBot="1" x14ac:dyDescent="0.4">
      <c r="A17" s="25" t="s">
        <v>17</v>
      </c>
      <c r="B17" s="25" t="s">
        <v>57</v>
      </c>
      <c r="C17" s="25" t="s">
        <v>34</v>
      </c>
      <c r="D17" s="26" t="s">
        <v>282</v>
      </c>
    </row>
    <row r="18" spans="1:4" ht="35.5" customHeight="1" thickBot="1" x14ac:dyDescent="0.4">
      <c r="A18" s="30" t="s">
        <v>18</v>
      </c>
      <c r="B18" s="30" t="s">
        <v>77</v>
      </c>
      <c r="C18" s="30" t="s">
        <v>76</v>
      </c>
      <c r="D18" s="31" t="str">
        <f>"Vorwärts aus " &amp; A6</f>
        <v>Vorwärts aus P5</v>
      </c>
    </row>
    <row r="19" spans="1:4" ht="35.5" customHeight="1" thickBot="1" x14ac:dyDescent="0.4">
      <c r="A19" s="30" t="s">
        <v>19</v>
      </c>
      <c r="B19" s="30" t="s">
        <v>655</v>
      </c>
      <c r="C19" s="30" t="s">
        <v>656</v>
      </c>
      <c r="D19" s="31" t="s">
        <v>653</v>
      </c>
    </row>
    <row r="20" spans="1:4" ht="35.5" customHeight="1" thickBot="1" x14ac:dyDescent="0.4">
      <c r="A20" s="30" t="s">
        <v>20</v>
      </c>
      <c r="B20" s="30" t="s">
        <v>658</v>
      </c>
      <c r="C20" s="30" t="s">
        <v>657</v>
      </c>
      <c r="D20" s="31" t="s">
        <v>654</v>
      </c>
    </row>
    <row r="21" spans="1:4" ht="44" customHeight="1" thickBot="1" x14ac:dyDescent="0.4">
      <c r="A21" s="30" t="s">
        <v>21</v>
      </c>
      <c r="B21" s="30" t="s">
        <v>87</v>
      </c>
      <c r="C21" s="30" t="s">
        <v>86</v>
      </c>
      <c r="D21" s="31" t="str">
        <f>"Vorwärts aus " &amp; A8</f>
        <v>Vorwärts aus P7</v>
      </c>
    </row>
    <row r="22" spans="1:4" ht="15" thickBot="1" x14ac:dyDescent="0.4">
      <c r="A22" s="30" t="s">
        <v>22</v>
      </c>
      <c r="B22" s="30" t="s">
        <v>70</v>
      </c>
      <c r="C22" s="30" t="s">
        <v>48</v>
      </c>
      <c r="D22" s="31" t="s">
        <v>283</v>
      </c>
    </row>
    <row r="23" spans="1:4" ht="15" thickBot="1" x14ac:dyDescent="0.4">
      <c r="A23" s="1"/>
      <c r="C23" s="6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RowHeight="14.5" x14ac:dyDescent="0.35"/>
  <cols>
    <col min="1" max="1" width="5" style="9" bestFit="1" customWidth="1"/>
    <col min="2" max="2" width="14.08984375" style="9" customWidth="1"/>
    <col min="3" max="3" width="29.7265625" style="9" customWidth="1"/>
    <col min="4" max="4" width="32.6328125" style="9" customWidth="1"/>
    <col min="5" max="5" width="25.54296875" style="9" customWidth="1"/>
    <col min="6" max="6" width="50.81640625" style="9" customWidth="1"/>
    <col min="7" max="7" width="35.90625" style="9" customWidth="1"/>
    <col min="8" max="8" width="14.26953125" style="9" customWidth="1"/>
    <col min="9" max="16384" width="10.90625" style="9"/>
  </cols>
  <sheetData>
    <row r="1" spans="1:8" x14ac:dyDescent="0.35">
      <c r="A1" s="8" t="s">
        <v>0</v>
      </c>
      <c r="B1" s="8" t="s">
        <v>88</v>
      </c>
      <c r="C1" s="8" t="s">
        <v>81</v>
      </c>
      <c r="D1" s="8" t="s">
        <v>82</v>
      </c>
      <c r="E1" s="8" t="s">
        <v>75</v>
      </c>
      <c r="F1" s="8" t="s">
        <v>237</v>
      </c>
      <c r="G1" s="8" t="s">
        <v>83</v>
      </c>
      <c r="H1" s="8" t="s">
        <v>1</v>
      </c>
    </row>
    <row r="2" spans="1:8" ht="99" customHeight="1" x14ac:dyDescent="0.35">
      <c r="A2" s="8" t="s">
        <v>2</v>
      </c>
      <c r="B2" s="8" t="s">
        <v>104</v>
      </c>
      <c r="C2" s="8" t="s">
        <v>127</v>
      </c>
      <c r="D2" s="8" t="s">
        <v>128</v>
      </c>
      <c r="E2" s="8" t="s">
        <v>221</v>
      </c>
      <c r="F2" s="7" t="s">
        <v>129</v>
      </c>
      <c r="G2" s="8" t="s">
        <v>91</v>
      </c>
      <c r="H2" s="8" t="s">
        <v>28</v>
      </c>
    </row>
    <row r="3" spans="1:8" ht="99" customHeight="1" x14ac:dyDescent="0.35">
      <c r="A3" s="8" t="s">
        <v>3</v>
      </c>
      <c r="B3" s="8" t="s">
        <v>105</v>
      </c>
      <c r="C3" s="8" t="s">
        <v>130</v>
      </c>
      <c r="D3" s="8" t="s">
        <v>131</v>
      </c>
      <c r="E3" s="8" t="s">
        <v>222</v>
      </c>
      <c r="F3" s="7" t="s">
        <v>132</v>
      </c>
      <c r="G3" s="11" t="s">
        <v>90</v>
      </c>
      <c r="H3" s="8" t="s">
        <v>28</v>
      </c>
    </row>
    <row r="4" spans="1:8" ht="71" customHeight="1" x14ac:dyDescent="0.35">
      <c r="A4" s="8" t="s">
        <v>4</v>
      </c>
      <c r="B4" s="8" t="s">
        <v>106</v>
      </c>
      <c r="C4" s="8" t="s">
        <v>133</v>
      </c>
      <c r="D4" s="8" t="s">
        <v>134</v>
      </c>
      <c r="E4" s="8" t="s">
        <v>223</v>
      </c>
      <c r="F4" s="7" t="s">
        <v>135</v>
      </c>
      <c r="G4" s="11" t="s">
        <v>92</v>
      </c>
      <c r="H4" s="8" t="s">
        <v>28</v>
      </c>
    </row>
    <row r="5" spans="1:8" ht="101.5" x14ac:dyDescent="0.35">
      <c r="A5" s="8" t="s">
        <v>5</v>
      </c>
      <c r="B5" s="8" t="s">
        <v>89</v>
      </c>
      <c r="C5" s="8" t="s">
        <v>136</v>
      </c>
      <c r="D5" s="8" t="s">
        <v>137</v>
      </c>
      <c r="E5" s="8" t="s">
        <v>224</v>
      </c>
      <c r="F5" s="7" t="s">
        <v>138</v>
      </c>
      <c r="G5" s="8" t="s">
        <v>139</v>
      </c>
      <c r="H5" s="8" t="s">
        <v>28</v>
      </c>
    </row>
    <row r="6" spans="1:8" ht="102" customHeight="1" x14ac:dyDescent="0.35">
      <c r="A6" s="8" t="s">
        <v>6</v>
      </c>
      <c r="B6" s="8" t="s">
        <v>107</v>
      </c>
      <c r="C6" s="8" t="s">
        <v>140</v>
      </c>
      <c r="D6" s="8" t="s">
        <v>141</v>
      </c>
      <c r="E6" s="8" t="s">
        <v>225</v>
      </c>
      <c r="F6" s="7" t="s">
        <v>142</v>
      </c>
      <c r="G6" s="8" t="s">
        <v>93</v>
      </c>
      <c r="H6" s="8" t="s">
        <v>28</v>
      </c>
    </row>
    <row r="7" spans="1:8" ht="101.5" x14ac:dyDescent="0.35">
      <c r="A7" s="8" t="s">
        <v>7</v>
      </c>
      <c r="B7" s="8" t="s">
        <v>214</v>
      </c>
      <c r="C7" s="8" t="s">
        <v>215</v>
      </c>
      <c r="D7" s="8" t="s">
        <v>216</v>
      </c>
      <c r="E7" s="8" t="s">
        <v>226</v>
      </c>
      <c r="F7" s="7" t="s">
        <v>217</v>
      </c>
      <c r="G7" s="8" t="s">
        <v>218</v>
      </c>
      <c r="H7" s="8" t="s">
        <v>124</v>
      </c>
    </row>
    <row r="8" spans="1:8" ht="87" x14ac:dyDescent="0.35">
      <c r="A8" s="8" t="s">
        <v>8</v>
      </c>
      <c r="B8" s="8" t="s">
        <v>210</v>
      </c>
      <c r="C8" s="8" t="s">
        <v>211</v>
      </c>
      <c r="D8" s="8" t="s">
        <v>212</v>
      </c>
      <c r="E8" s="8" t="s">
        <v>227</v>
      </c>
      <c r="F8" s="7" t="s">
        <v>213</v>
      </c>
      <c r="G8" s="8" t="s">
        <v>209</v>
      </c>
      <c r="H8" s="8" t="s">
        <v>124</v>
      </c>
    </row>
    <row r="9" spans="1:8" ht="58" x14ac:dyDescent="0.35">
      <c r="A9" s="8" t="s">
        <v>9</v>
      </c>
      <c r="B9" s="8" t="s">
        <v>205</v>
      </c>
      <c r="C9" s="8" t="s">
        <v>206</v>
      </c>
      <c r="D9" s="8" t="s">
        <v>207</v>
      </c>
      <c r="E9" s="8" t="s">
        <v>228</v>
      </c>
      <c r="F9" s="7" t="s">
        <v>208</v>
      </c>
      <c r="G9" s="8" t="s">
        <v>209</v>
      </c>
      <c r="H9" s="8" t="s">
        <v>124</v>
      </c>
    </row>
    <row r="10" spans="1:8" ht="87" x14ac:dyDescent="0.35">
      <c r="A10" s="8" t="s">
        <v>10</v>
      </c>
      <c r="B10" s="8" t="s">
        <v>195</v>
      </c>
      <c r="C10" s="8" t="s">
        <v>196</v>
      </c>
      <c r="D10" s="8" t="s">
        <v>197</v>
      </c>
      <c r="E10" s="8" t="s">
        <v>229</v>
      </c>
      <c r="F10" s="7" t="s">
        <v>198</v>
      </c>
      <c r="G10" s="8" t="s">
        <v>199</v>
      </c>
      <c r="H10" s="8" t="s">
        <v>124</v>
      </c>
    </row>
    <row r="11" spans="1:8" ht="116" x14ac:dyDescent="0.35">
      <c r="A11" s="8" t="s">
        <v>11</v>
      </c>
      <c r="B11" s="8" t="s">
        <v>200</v>
      </c>
      <c r="C11" s="8" t="s">
        <v>201</v>
      </c>
      <c r="D11" s="8" t="s">
        <v>202</v>
      </c>
      <c r="E11" s="8" t="s">
        <v>230</v>
      </c>
      <c r="F11" s="7" t="s">
        <v>203</v>
      </c>
      <c r="G11" s="8" t="s">
        <v>204</v>
      </c>
      <c r="H11" s="8" t="s">
        <v>124</v>
      </c>
    </row>
    <row r="12" spans="1:8" ht="101.5" x14ac:dyDescent="0.35">
      <c r="A12" s="8" t="s">
        <v>12</v>
      </c>
      <c r="B12" s="8" t="s">
        <v>113</v>
      </c>
      <c r="C12" s="8" t="s">
        <v>120</v>
      </c>
      <c r="D12" s="8" t="s">
        <v>111</v>
      </c>
      <c r="E12" s="8" t="s">
        <v>112</v>
      </c>
      <c r="F12" s="7" t="s">
        <v>143</v>
      </c>
      <c r="G12" s="8" t="s">
        <v>144</v>
      </c>
      <c r="H12" s="8" t="s">
        <v>125</v>
      </c>
    </row>
    <row r="13" spans="1:8" ht="116" x14ac:dyDescent="0.35">
      <c r="A13" s="8" t="s">
        <v>13</v>
      </c>
      <c r="B13" s="8" t="s">
        <v>191</v>
      </c>
      <c r="C13" s="8" t="s">
        <v>192</v>
      </c>
      <c r="D13" s="8" t="s">
        <v>193</v>
      </c>
      <c r="E13" s="8" t="s">
        <v>231</v>
      </c>
      <c r="F13" s="7" t="s">
        <v>194</v>
      </c>
      <c r="G13" s="8" t="s">
        <v>166</v>
      </c>
      <c r="H13" s="8" t="s">
        <v>124</v>
      </c>
    </row>
    <row r="14" spans="1:8" ht="116" x14ac:dyDescent="0.35">
      <c r="A14" s="8" t="s">
        <v>14</v>
      </c>
      <c r="B14" s="8" t="s">
        <v>187</v>
      </c>
      <c r="C14" s="8" t="s">
        <v>188</v>
      </c>
      <c r="D14" s="8" t="s">
        <v>189</v>
      </c>
      <c r="E14" s="8" t="s">
        <v>232</v>
      </c>
      <c r="F14" s="7" t="s">
        <v>190</v>
      </c>
      <c r="G14" s="8" t="s">
        <v>166</v>
      </c>
      <c r="H14" s="8" t="s">
        <v>124</v>
      </c>
    </row>
    <row r="15" spans="1:8" ht="87" x14ac:dyDescent="0.35">
      <c r="A15" s="8" t="s">
        <v>15</v>
      </c>
      <c r="B15" s="8" t="s">
        <v>182</v>
      </c>
      <c r="C15" s="8" t="s">
        <v>183</v>
      </c>
      <c r="D15" s="8" t="s">
        <v>184</v>
      </c>
      <c r="E15" s="8" t="s">
        <v>233</v>
      </c>
      <c r="F15" s="7" t="s">
        <v>185</v>
      </c>
      <c r="G15" s="8" t="s">
        <v>186</v>
      </c>
      <c r="H15" s="8" t="s">
        <v>124</v>
      </c>
    </row>
    <row r="16" spans="1:8" ht="116" x14ac:dyDescent="0.35">
      <c r="A16" s="8" t="s">
        <v>16</v>
      </c>
      <c r="B16" s="8" t="s">
        <v>123</v>
      </c>
      <c r="C16" s="8" t="s">
        <v>121</v>
      </c>
      <c r="D16" s="8" t="s">
        <v>117</v>
      </c>
      <c r="E16" s="8" t="s">
        <v>118</v>
      </c>
      <c r="F16" s="7" t="s">
        <v>145</v>
      </c>
      <c r="G16" s="8" t="s">
        <v>146</v>
      </c>
      <c r="H16" s="8" t="s">
        <v>125</v>
      </c>
    </row>
    <row r="17" spans="1:8" ht="87" x14ac:dyDescent="0.35">
      <c r="A17" s="8" t="s">
        <v>17</v>
      </c>
      <c r="B17" s="8" t="s">
        <v>126</v>
      </c>
      <c r="C17" s="8" t="s">
        <v>103</v>
      </c>
      <c r="D17" s="8" t="s">
        <v>94</v>
      </c>
      <c r="E17" s="8" t="s">
        <v>95</v>
      </c>
      <c r="F17" s="7" t="s">
        <v>155</v>
      </c>
      <c r="G17" s="8" t="s">
        <v>156</v>
      </c>
      <c r="H17" s="8" t="s">
        <v>125</v>
      </c>
    </row>
    <row r="18" spans="1:8" ht="87" x14ac:dyDescent="0.35">
      <c r="A18" s="8" t="s">
        <v>18</v>
      </c>
      <c r="B18" s="8" t="s">
        <v>177</v>
      </c>
      <c r="C18" s="8" t="s">
        <v>178</v>
      </c>
      <c r="D18" s="8" t="s">
        <v>179</v>
      </c>
      <c r="E18" s="8" t="s">
        <v>234</v>
      </c>
      <c r="F18" s="7" t="s">
        <v>180</v>
      </c>
      <c r="G18" s="8" t="s">
        <v>181</v>
      </c>
      <c r="H18" s="8" t="s">
        <v>124</v>
      </c>
    </row>
    <row r="19" spans="1:8" ht="130.5" x14ac:dyDescent="0.35">
      <c r="A19" s="8" t="s">
        <v>19</v>
      </c>
      <c r="B19" s="8" t="s">
        <v>116</v>
      </c>
      <c r="C19" s="8" t="s">
        <v>147</v>
      </c>
      <c r="D19" s="8" t="s">
        <v>114</v>
      </c>
      <c r="E19" s="8" t="s">
        <v>115</v>
      </c>
      <c r="F19" s="7" t="s">
        <v>148</v>
      </c>
      <c r="G19" s="8" t="s">
        <v>149</v>
      </c>
      <c r="H19" s="8" t="s">
        <v>125</v>
      </c>
    </row>
    <row r="20" spans="1:8" ht="87" x14ac:dyDescent="0.35">
      <c r="A20" s="8" t="s">
        <v>20</v>
      </c>
      <c r="B20" s="8" t="s">
        <v>119</v>
      </c>
      <c r="C20" s="8" t="s">
        <v>150</v>
      </c>
      <c r="D20" s="8" t="s">
        <v>101</v>
      </c>
      <c r="E20" s="8" t="s">
        <v>102</v>
      </c>
      <c r="F20" s="7" t="s">
        <v>151</v>
      </c>
      <c r="G20" s="8" t="s">
        <v>152</v>
      </c>
      <c r="H20" s="8" t="s">
        <v>125</v>
      </c>
    </row>
    <row r="21" spans="1:8" ht="87" x14ac:dyDescent="0.35">
      <c r="A21" s="8" t="s">
        <v>21</v>
      </c>
      <c r="B21" s="8" t="s">
        <v>171</v>
      </c>
      <c r="C21" s="8" t="s">
        <v>172</v>
      </c>
      <c r="D21" s="8" t="s">
        <v>173</v>
      </c>
      <c r="E21" s="8" t="s">
        <v>174</v>
      </c>
      <c r="F21" s="7" t="s">
        <v>175</v>
      </c>
      <c r="G21" s="8" t="s">
        <v>176</v>
      </c>
      <c r="H21" s="8" t="s">
        <v>124</v>
      </c>
    </row>
    <row r="22" spans="1:8" ht="87" x14ac:dyDescent="0.35">
      <c r="A22" s="8" t="s">
        <v>22</v>
      </c>
      <c r="B22" s="8" t="s">
        <v>167</v>
      </c>
      <c r="C22" s="8" t="s">
        <v>168</v>
      </c>
      <c r="D22" s="8" t="s">
        <v>169</v>
      </c>
      <c r="E22" s="8" t="s">
        <v>235</v>
      </c>
      <c r="F22" s="7" t="s">
        <v>170</v>
      </c>
      <c r="G22" s="8" t="s">
        <v>166</v>
      </c>
      <c r="H22" s="8" t="s">
        <v>124</v>
      </c>
    </row>
    <row r="23" spans="1:8" ht="72.5" x14ac:dyDescent="0.35">
      <c r="A23" s="8" t="s">
        <v>23</v>
      </c>
      <c r="B23" s="8" t="s">
        <v>162</v>
      </c>
      <c r="C23" s="8" t="s">
        <v>163</v>
      </c>
      <c r="D23" s="8" t="s">
        <v>164</v>
      </c>
      <c r="E23" s="8" t="s">
        <v>236</v>
      </c>
      <c r="F23" s="7" t="s">
        <v>165</v>
      </c>
      <c r="G23" s="8" t="s">
        <v>166</v>
      </c>
      <c r="H23" s="8" t="s">
        <v>124</v>
      </c>
    </row>
    <row r="24" spans="1:8" ht="116" x14ac:dyDescent="0.35">
      <c r="A24" s="8" t="s">
        <v>24</v>
      </c>
      <c r="B24" s="8" t="s">
        <v>110</v>
      </c>
      <c r="C24" s="8" t="s">
        <v>122</v>
      </c>
      <c r="D24" s="8" t="s">
        <v>108</v>
      </c>
      <c r="E24" s="8" t="s">
        <v>109</v>
      </c>
      <c r="F24" s="7" t="s">
        <v>153</v>
      </c>
      <c r="G24" s="8" t="s">
        <v>154</v>
      </c>
      <c r="H24" s="8" t="s">
        <v>125</v>
      </c>
    </row>
    <row r="25" spans="1:8" ht="72.5" x14ac:dyDescent="0.35">
      <c r="A25" s="8" t="s">
        <v>25</v>
      </c>
      <c r="B25" s="8" t="s">
        <v>219</v>
      </c>
      <c r="C25" s="8" t="s">
        <v>157</v>
      </c>
      <c r="D25" s="8" t="s">
        <v>96</v>
      </c>
      <c r="E25" s="8" t="s">
        <v>97</v>
      </c>
      <c r="F25" s="7" t="s">
        <v>98</v>
      </c>
      <c r="G25" s="8" t="s">
        <v>158</v>
      </c>
      <c r="H25" s="8" t="s">
        <v>125</v>
      </c>
    </row>
    <row r="26" spans="1:8" ht="101.5" x14ac:dyDescent="0.35">
      <c r="A26" s="8" t="s">
        <v>26</v>
      </c>
      <c r="B26" s="8" t="s">
        <v>220</v>
      </c>
      <c r="C26" s="8" t="s">
        <v>159</v>
      </c>
      <c r="D26" s="8" t="s">
        <v>99</v>
      </c>
      <c r="E26" s="8" t="s">
        <v>100</v>
      </c>
      <c r="F26" s="7" t="s">
        <v>160</v>
      </c>
      <c r="G26" s="8" t="s">
        <v>161</v>
      </c>
      <c r="H26" s="8" t="s">
        <v>125</v>
      </c>
    </row>
    <row r="27" spans="1:8" x14ac:dyDescent="0.35">
      <c r="A27" s="8" t="s">
        <v>27</v>
      </c>
      <c r="B27" s="12"/>
      <c r="C27" s="13"/>
      <c r="D27" s="12"/>
      <c r="E27" s="12"/>
      <c r="F27" s="12"/>
      <c r="G27" s="10"/>
      <c r="H27" s="8">
        <f>Übersicht!D27</f>
        <v>0</v>
      </c>
    </row>
    <row r="28" spans="1:8" x14ac:dyDescent="0.35">
      <c r="H28" s="8">
        <f>Übersicht!D28</f>
        <v>0</v>
      </c>
    </row>
    <row r="38" spans="1:6" ht="87" customHeight="1" x14ac:dyDescent="0.35"/>
    <row r="39" spans="1:6" x14ac:dyDescent="0.35">
      <c r="A39" s="12"/>
      <c r="B39" s="13"/>
      <c r="C39" s="12"/>
      <c r="D39" s="12"/>
      <c r="E39" s="12"/>
      <c r="F39" s="10"/>
    </row>
    <row r="40" spans="1:6" x14ac:dyDescent="0.35">
      <c r="A40" s="12"/>
      <c r="B40" s="13"/>
      <c r="C40" s="12"/>
      <c r="D40" s="12"/>
      <c r="E40" s="12"/>
      <c r="F40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27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90625" customWidth="1"/>
    <col min="3" max="3" width="30.6328125" customWidth="1"/>
    <col min="4" max="4" width="29.7265625" customWidth="1"/>
    <col min="5" max="5" width="21.6328125" bestFit="1" customWidth="1"/>
    <col min="6" max="6" width="22.08984375" bestFit="1" customWidth="1"/>
    <col min="7" max="7" width="12.81640625" customWidth="1"/>
  </cols>
  <sheetData>
    <row r="1" spans="1:11" ht="43.5" x14ac:dyDescent="0.35">
      <c r="A1" s="22" t="s">
        <v>261</v>
      </c>
      <c r="B1" s="22" t="s">
        <v>255</v>
      </c>
      <c r="C1" s="22" t="s">
        <v>262</v>
      </c>
      <c r="D1" s="22" t="s">
        <v>263</v>
      </c>
      <c r="E1" s="137"/>
      <c r="F1" s="137"/>
      <c r="G1" s="137"/>
      <c r="H1" s="137"/>
      <c r="I1" s="137"/>
      <c r="J1" s="137"/>
      <c r="K1" s="137"/>
    </row>
    <row r="2" spans="1:11" ht="29" x14ac:dyDescent="0.35">
      <c r="A2" s="22" t="s">
        <v>251</v>
      </c>
      <c r="B2" s="21" t="s">
        <v>266</v>
      </c>
      <c r="C2" s="21" t="s">
        <v>267</v>
      </c>
      <c r="D2" s="21" t="s">
        <v>268</v>
      </c>
      <c r="E2" s="20"/>
      <c r="F2" s="20"/>
      <c r="G2" s="20"/>
      <c r="H2" s="20"/>
      <c r="I2" s="20"/>
      <c r="J2" s="20"/>
      <c r="K2" s="20"/>
    </row>
    <row r="3" spans="1:11" ht="29" x14ac:dyDescent="0.35">
      <c r="A3" s="22" t="s">
        <v>252</v>
      </c>
      <c r="B3" s="21" t="s">
        <v>269</v>
      </c>
      <c r="C3" s="21" t="s">
        <v>270</v>
      </c>
      <c r="D3" s="21" t="s">
        <v>271</v>
      </c>
      <c r="E3" s="19"/>
      <c r="F3" s="19"/>
      <c r="G3" s="18"/>
      <c r="H3" s="18"/>
      <c r="I3" s="18"/>
      <c r="J3" s="18"/>
      <c r="K3" s="18"/>
    </row>
    <row r="4" spans="1:11" ht="29" x14ac:dyDescent="0.35">
      <c r="A4" s="22" t="s">
        <v>264</v>
      </c>
      <c r="B4" s="21" t="s">
        <v>272</v>
      </c>
      <c r="C4" s="21" t="s">
        <v>273</v>
      </c>
      <c r="D4" s="21" t="s">
        <v>267</v>
      </c>
      <c r="E4" s="19"/>
      <c r="F4" s="19"/>
      <c r="G4" s="18"/>
      <c r="H4" s="18"/>
      <c r="I4" s="18"/>
      <c r="J4" s="18"/>
      <c r="K4" s="18"/>
    </row>
    <row r="5" spans="1:11" ht="43.5" customHeight="1" x14ac:dyDescent="0.35">
      <c r="A5" s="22" t="s">
        <v>253</v>
      </c>
      <c r="B5" s="21" t="s">
        <v>267</v>
      </c>
      <c r="C5" s="21" t="s">
        <v>267</v>
      </c>
      <c r="D5" s="21" t="s">
        <v>267</v>
      </c>
      <c r="E5" s="19"/>
      <c r="F5" s="19"/>
      <c r="G5" s="18"/>
      <c r="H5" s="18"/>
      <c r="I5" s="18"/>
      <c r="J5" s="18"/>
      <c r="K5" s="18"/>
    </row>
    <row r="6" spans="1:11" ht="29" x14ac:dyDescent="0.35">
      <c r="A6" s="22" t="s">
        <v>254</v>
      </c>
      <c r="B6" s="21" t="s">
        <v>274</v>
      </c>
      <c r="C6" s="21" t="s">
        <v>274</v>
      </c>
      <c r="D6" s="21" t="s">
        <v>275</v>
      </c>
      <c r="E6" s="19"/>
      <c r="F6" s="19"/>
      <c r="G6" s="18"/>
      <c r="H6" s="18"/>
      <c r="I6" s="18"/>
      <c r="J6" s="18"/>
      <c r="K6" s="18"/>
    </row>
    <row r="7" spans="1:11" x14ac:dyDescent="0.35">
      <c r="A7" s="22" t="s">
        <v>265</v>
      </c>
      <c r="B7" s="21" t="s">
        <v>276</v>
      </c>
      <c r="C7" s="21" t="s">
        <v>276</v>
      </c>
      <c r="D7" s="21" t="s">
        <v>276</v>
      </c>
      <c r="E7" s="19"/>
      <c r="F7" s="19"/>
      <c r="G7" s="18"/>
      <c r="H7" s="18"/>
      <c r="I7" s="18"/>
      <c r="J7" s="18"/>
      <c r="K7" s="18"/>
    </row>
    <row r="8" spans="1:11" x14ac:dyDescent="0.35">
      <c r="A8" s="19"/>
      <c r="B8" s="19"/>
      <c r="C8" s="19"/>
      <c r="D8" s="19"/>
      <c r="E8" s="19"/>
      <c r="F8" s="19"/>
      <c r="G8" s="18"/>
      <c r="H8" s="18"/>
      <c r="I8" s="18"/>
      <c r="J8" s="18"/>
      <c r="K8" s="18"/>
    </row>
    <row r="9" spans="1:11" x14ac:dyDescent="0.35">
      <c r="A9" s="19"/>
      <c r="B9" s="19"/>
      <c r="C9" s="19"/>
      <c r="D9" s="19"/>
      <c r="E9" s="19"/>
      <c r="F9" s="19"/>
      <c r="G9" s="18"/>
      <c r="H9" s="18"/>
      <c r="I9" s="18"/>
      <c r="J9" s="18"/>
      <c r="K9" s="18"/>
    </row>
    <row r="10" spans="1:11" x14ac:dyDescent="0.3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</row>
    <row r="11" spans="1:11" x14ac:dyDescent="0.3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</row>
    <row r="12" spans="1:11" x14ac:dyDescent="0.3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</row>
    <row r="13" spans="1:11" x14ac:dyDescent="0.3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</row>
    <row r="14" spans="1:11" x14ac:dyDescent="0.3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</row>
    <row r="15" spans="1:11" x14ac:dyDescent="0.3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</row>
    <row r="16" spans="1:11" x14ac:dyDescent="0.3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</row>
    <row r="17" spans="1:11" x14ac:dyDescent="0.3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spans="1:11" x14ac:dyDescent="0.3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</row>
    <row r="19" spans="1:11" x14ac:dyDescent="0.3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</row>
    <row r="20" spans="1:1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</row>
    <row r="21" spans="1:11" x14ac:dyDescent="0.3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</row>
    <row r="22" spans="1:11" x14ac:dyDescent="0.3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</row>
    <row r="23" spans="1:1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</row>
    <row r="24" spans="1:11" x14ac:dyDescent="0.3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</row>
    <row r="25" spans="1:11" x14ac:dyDescent="0.3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spans="1:11" x14ac:dyDescent="0.3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</row>
    <row r="27" spans="1:11" x14ac:dyDescent="0.3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26953125" customWidth="1"/>
    <col min="2" max="2" width="46.453125" customWidth="1"/>
    <col min="3" max="3" width="54.36328125" customWidth="1"/>
    <col min="4" max="4" width="61.453125" customWidth="1"/>
  </cols>
  <sheetData>
    <row r="1" spans="1:4" ht="29" x14ac:dyDescent="0.35">
      <c r="A1" s="17" t="s">
        <v>261</v>
      </c>
      <c r="B1" s="17" t="s">
        <v>255</v>
      </c>
      <c r="C1" s="17" t="s">
        <v>262</v>
      </c>
      <c r="D1" s="17" t="s">
        <v>263</v>
      </c>
    </row>
    <row r="2" spans="1:4" ht="50" x14ac:dyDescent="0.35">
      <c r="A2" s="17" t="s">
        <v>251</v>
      </c>
      <c r="B2" s="32" t="s">
        <v>456</v>
      </c>
      <c r="C2" s="32" t="s">
        <v>457</v>
      </c>
      <c r="D2" s="32" t="s">
        <v>453</v>
      </c>
    </row>
    <row r="3" spans="1:4" ht="50" x14ac:dyDescent="0.35">
      <c r="A3" s="17" t="s">
        <v>252</v>
      </c>
      <c r="B3" s="32" t="s">
        <v>458</v>
      </c>
      <c r="C3" s="32" t="s">
        <v>459</v>
      </c>
      <c r="D3" s="32" t="s">
        <v>460</v>
      </c>
    </row>
    <row r="4" spans="1:4" ht="49.5" customHeight="1" x14ac:dyDescent="0.35">
      <c r="A4" s="17" t="s">
        <v>264</v>
      </c>
      <c r="B4" s="32" t="s">
        <v>473</v>
      </c>
      <c r="C4" s="32" t="s">
        <v>474</v>
      </c>
      <c r="D4" s="32" t="s">
        <v>475</v>
      </c>
    </row>
    <row r="5" spans="1:4" ht="29" x14ac:dyDescent="0.35">
      <c r="A5" s="17" t="s">
        <v>253</v>
      </c>
      <c r="B5" s="32" t="s">
        <v>461</v>
      </c>
      <c r="C5" s="32" t="s">
        <v>454</v>
      </c>
      <c r="D5" s="32" t="s">
        <v>462</v>
      </c>
    </row>
    <row r="6" spans="1:4" ht="37.5" x14ac:dyDescent="0.35">
      <c r="A6" s="17" t="s">
        <v>254</v>
      </c>
      <c r="B6" s="32" t="s">
        <v>455</v>
      </c>
      <c r="C6" s="32" t="s">
        <v>463</v>
      </c>
      <c r="D6" s="32" t="s">
        <v>464</v>
      </c>
    </row>
    <row r="7" spans="1:4" ht="33.5" customHeight="1" x14ac:dyDescent="0.35">
      <c r="A7" s="17" t="s">
        <v>265</v>
      </c>
      <c r="B7" s="32" t="s">
        <v>312</v>
      </c>
      <c r="C7" s="32" t="s">
        <v>258</v>
      </c>
      <c r="D7" s="32" t="s">
        <v>465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4" customWidth="1"/>
    <col min="2" max="2" width="33.1796875" customWidth="1"/>
    <col min="3" max="4" width="53.453125" customWidth="1"/>
  </cols>
  <sheetData>
    <row r="1" spans="1:6" s="14" customFormat="1" x14ac:dyDescent="0.35">
      <c r="A1" s="122" t="s">
        <v>0</v>
      </c>
      <c r="B1" s="123" t="s">
        <v>926</v>
      </c>
      <c r="C1" s="123" t="s">
        <v>927</v>
      </c>
      <c r="D1" s="124" t="s">
        <v>928</v>
      </c>
      <c r="E1" s="119"/>
      <c r="F1" s="119"/>
    </row>
    <row r="2" spans="1:6" ht="50" x14ac:dyDescent="0.35">
      <c r="A2" s="120" t="s">
        <v>2</v>
      </c>
      <c r="B2" s="32" t="s">
        <v>929</v>
      </c>
      <c r="C2" s="32" t="s">
        <v>948</v>
      </c>
      <c r="D2" s="121" t="s">
        <v>949</v>
      </c>
      <c r="E2" s="118"/>
      <c r="F2" s="118"/>
    </row>
    <row r="3" spans="1:6" ht="62.5" x14ac:dyDescent="0.35">
      <c r="A3" s="120" t="s">
        <v>3</v>
      </c>
      <c r="B3" s="32" t="s">
        <v>930</v>
      </c>
      <c r="C3" s="32" t="s">
        <v>950</v>
      </c>
      <c r="D3" s="121" t="s">
        <v>951</v>
      </c>
      <c r="E3" s="118"/>
      <c r="F3" s="118"/>
    </row>
    <row r="4" spans="1:6" ht="50" x14ac:dyDescent="0.35">
      <c r="A4" s="120" t="s">
        <v>4</v>
      </c>
      <c r="B4" s="32" t="s">
        <v>931</v>
      </c>
      <c r="C4" s="32" t="s">
        <v>952</v>
      </c>
      <c r="D4" s="121" t="s">
        <v>953</v>
      </c>
      <c r="E4" s="118"/>
      <c r="F4" s="118"/>
    </row>
    <row r="5" spans="1:6" ht="75" x14ac:dyDescent="0.35">
      <c r="A5" s="120" t="s">
        <v>5</v>
      </c>
      <c r="B5" s="32" t="s">
        <v>932</v>
      </c>
      <c r="C5" s="32" t="s">
        <v>954</v>
      </c>
      <c r="D5" s="121" t="s">
        <v>955</v>
      </c>
      <c r="E5" s="118"/>
      <c r="F5" s="118"/>
    </row>
    <row r="6" spans="1:6" ht="62.5" x14ac:dyDescent="0.35">
      <c r="A6" s="120" t="s">
        <v>6</v>
      </c>
      <c r="B6" s="32" t="s">
        <v>933</v>
      </c>
      <c r="C6" s="32" t="s">
        <v>956</v>
      </c>
      <c r="D6" s="121" t="s">
        <v>957</v>
      </c>
      <c r="E6" s="118"/>
      <c r="F6" s="118"/>
    </row>
    <row r="7" spans="1:6" ht="50" x14ac:dyDescent="0.35">
      <c r="A7" s="120" t="s">
        <v>7</v>
      </c>
      <c r="B7" s="32" t="s">
        <v>934</v>
      </c>
      <c r="C7" s="32" t="s">
        <v>958</v>
      </c>
      <c r="D7" s="121" t="s">
        <v>959</v>
      </c>
      <c r="E7" s="118"/>
      <c r="F7" s="118"/>
    </row>
    <row r="8" spans="1:6" ht="37.5" x14ac:dyDescent="0.35">
      <c r="A8" s="120" t="s">
        <v>8</v>
      </c>
      <c r="B8" s="32" t="s">
        <v>939</v>
      </c>
      <c r="C8" s="32" t="s">
        <v>968</v>
      </c>
      <c r="D8" s="121" t="s">
        <v>969</v>
      </c>
      <c r="E8" s="118"/>
      <c r="F8" s="118"/>
    </row>
    <row r="9" spans="1:6" ht="50" x14ac:dyDescent="0.35">
      <c r="A9" s="120" t="s">
        <v>9</v>
      </c>
      <c r="B9" s="32" t="s">
        <v>936</v>
      </c>
      <c r="C9" s="32" t="s">
        <v>962</v>
      </c>
      <c r="D9" s="121" t="s">
        <v>963</v>
      </c>
      <c r="E9" s="118"/>
      <c r="F9" s="118"/>
    </row>
    <row r="10" spans="1:6" ht="37.5" hidden="1" x14ac:dyDescent="0.35">
      <c r="A10" s="120" t="s">
        <v>10</v>
      </c>
      <c r="B10" s="32" t="s">
        <v>935</v>
      </c>
      <c r="C10" s="32" t="s">
        <v>960</v>
      </c>
      <c r="D10" s="121" t="s">
        <v>961</v>
      </c>
      <c r="E10" s="118"/>
      <c r="F10" s="118"/>
    </row>
    <row r="11" spans="1:6" x14ac:dyDescent="0.35">
      <c r="A11" s="120" t="s">
        <v>10</v>
      </c>
      <c r="B11" s="32"/>
      <c r="C11" s="32"/>
      <c r="D11" s="121"/>
      <c r="E11" s="118"/>
      <c r="F11" s="118"/>
    </row>
    <row r="12" spans="1:6" ht="50" x14ac:dyDescent="0.35">
      <c r="A12" s="120" t="s">
        <v>11</v>
      </c>
      <c r="B12" s="32" t="s">
        <v>941</v>
      </c>
      <c r="C12" s="32" t="s">
        <v>972</v>
      </c>
      <c r="D12" s="121" t="s">
        <v>973</v>
      </c>
      <c r="E12" s="118"/>
      <c r="F12" s="118"/>
    </row>
    <row r="13" spans="1:6" ht="50" x14ac:dyDescent="0.35">
      <c r="A13" s="120" t="s">
        <v>12</v>
      </c>
      <c r="B13" s="32" t="s">
        <v>940</v>
      </c>
      <c r="C13" s="32" t="s">
        <v>970</v>
      </c>
      <c r="D13" s="121" t="s">
        <v>971</v>
      </c>
      <c r="E13" s="118"/>
      <c r="F13" s="118"/>
    </row>
    <row r="14" spans="1:6" ht="37.5" x14ac:dyDescent="0.35">
      <c r="A14" s="120" t="s">
        <v>13</v>
      </c>
      <c r="B14" s="32" t="s">
        <v>42</v>
      </c>
      <c r="C14" s="32" t="s">
        <v>610</v>
      </c>
      <c r="D14" s="121" t="s">
        <v>608</v>
      </c>
      <c r="E14" s="118"/>
      <c r="F14" s="118"/>
    </row>
    <row r="15" spans="1:6" ht="25" x14ac:dyDescent="0.35">
      <c r="A15" s="120" t="s">
        <v>14</v>
      </c>
      <c r="B15" s="32" t="s">
        <v>43</v>
      </c>
      <c r="C15" s="32" t="s">
        <v>986</v>
      </c>
      <c r="D15" s="121" t="s">
        <v>987</v>
      </c>
      <c r="E15" s="118"/>
      <c r="F15" s="118"/>
    </row>
    <row r="16" spans="1:6" ht="100" x14ac:dyDescent="0.35">
      <c r="A16" s="120" t="s">
        <v>15</v>
      </c>
      <c r="B16" s="32" t="s">
        <v>937</v>
      </c>
      <c r="C16" s="32" t="s">
        <v>964</v>
      </c>
      <c r="D16" s="121" t="s">
        <v>965</v>
      </c>
      <c r="E16" s="118"/>
      <c r="F16" s="118"/>
    </row>
    <row r="17" spans="1:6" ht="50" x14ac:dyDescent="0.35">
      <c r="A17" s="120" t="s">
        <v>16</v>
      </c>
      <c r="B17" s="32" t="s">
        <v>942</v>
      </c>
      <c r="C17" s="32" t="s">
        <v>974</v>
      </c>
      <c r="D17" s="121" t="s">
        <v>975</v>
      </c>
      <c r="E17" s="118"/>
      <c r="F17" s="118"/>
    </row>
    <row r="18" spans="1:6" ht="62.5" hidden="1" x14ac:dyDescent="0.35">
      <c r="A18" s="120" t="s">
        <v>18</v>
      </c>
      <c r="B18" s="32" t="s">
        <v>943</v>
      </c>
      <c r="C18" s="32" t="s">
        <v>976</v>
      </c>
      <c r="D18" s="121" t="s">
        <v>977</v>
      </c>
      <c r="E18" s="118"/>
      <c r="F18" s="118"/>
    </row>
    <row r="19" spans="1:6" ht="37.5" x14ac:dyDescent="0.35">
      <c r="A19" s="120" t="s">
        <v>17</v>
      </c>
      <c r="B19" s="32" t="s">
        <v>944</v>
      </c>
      <c r="C19" s="32" t="s">
        <v>978</v>
      </c>
      <c r="D19" s="121" t="s">
        <v>979</v>
      </c>
      <c r="E19" s="118"/>
      <c r="F19" s="118"/>
    </row>
    <row r="20" spans="1:6" ht="50" x14ac:dyDescent="0.35">
      <c r="A20" s="120" t="s">
        <v>18</v>
      </c>
      <c r="B20" s="32" t="s">
        <v>945</v>
      </c>
      <c r="C20" s="32" t="s">
        <v>980</v>
      </c>
      <c r="D20" s="121" t="s">
        <v>981</v>
      </c>
      <c r="E20" s="118"/>
      <c r="F20" s="118"/>
    </row>
    <row r="21" spans="1:6" ht="37.5" hidden="1" x14ac:dyDescent="0.35">
      <c r="A21" s="120" t="s">
        <v>21</v>
      </c>
      <c r="B21" s="32" t="s">
        <v>946</v>
      </c>
      <c r="C21" s="32" t="s">
        <v>982</v>
      </c>
      <c r="D21" s="121" t="s">
        <v>983</v>
      </c>
      <c r="E21" s="118"/>
      <c r="F21" s="118"/>
    </row>
    <row r="22" spans="1:6" ht="50" x14ac:dyDescent="0.35">
      <c r="A22" s="120" t="s">
        <v>19</v>
      </c>
      <c r="B22" s="32" t="s">
        <v>938</v>
      </c>
      <c r="C22" s="32" t="s">
        <v>966</v>
      </c>
      <c r="D22" s="121" t="s">
        <v>967</v>
      </c>
      <c r="E22" s="118"/>
      <c r="F22" s="118"/>
    </row>
    <row r="23" spans="1:6" ht="62.5" x14ac:dyDescent="0.35">
      <c r="A23" s="120" t="s">
        <v>20</v>
      </c>
      <c r="B23" s="32" t="s">
        <v>947</v>
      </c>
      <c r="C23" s="32" t="s">
        <v>984</v>
      </c>
      <c r="D23" s="121" t="s">
        <v>985</v>
      </c>
      <c r="E23" s="118"/>
      <c r="F23" s="118"/>
    </row>
    <row r="24" spans="1:6" hidden="1" x14ac:dyDescent="0.35">
      <c r="A24"/>
    </row>
    <row r="25" spans="1:6" hidden="1" x14ac:dyDescent="0.35">
      <c r="A25"/>
      <c r="E25" s="118"/>
      <c r="F25" s="118"/>
    </row>
    <row r="26" spans="1:6" x14ac:dyDescent="0.35">
      <c r="A26" s="125" t="s">
        <v>21</v>
      </c>
      <c r="B26" s="126"/>
      <c r="C26" s="126"/>
      <c r="D26" s="127"/>
      <c r="E26" s="118"/>
      <c r="F26" s="118"/>
    </row>
    <row r="27" spans="1:6" x14ac:dyDescent="0.35">
      <c r="A27" s="125" t="s">
        <v>3</v>
      </c>
      <c r="B27" s="126"/>
      <c r="C27" s="126"/>
      <c r="D27" s="127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O2" sqref="O2"/>
    </sheetView>
  </sheetViews>
  <sheetFormatPr baseColWidth="10" defaultRowHeight="14.5" x14ac:dyDescent="0.35"/>
  <cols>
    <col min="1" max="1" width="15.08984375" bestFit="1" customWidth="1"/>
    <col min="2" max="2" width="43.36328125" bestFit="1" customWidth="1"/>
    <col min="3" max="3" width="34.08984375" bestFit="1" customWidth="1"/>
    <col min="4" max="4" width="36.9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72656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style="83" bestFit="1" customWidth="1"/>
    <col min="16" max="18" width="36.90625" customWidth="1"/>
    <col min="19" max="19" width="36.6328125" bestFit="1" customWidth="1"/>
    <col min="20" max="21" width="36.90625" customWidth="1"/>
    <col min="22" max="22" width="37.36328125" bestFit="1" customWidth="1"/>
  </cols>
  <sheetData>
    <row r="1" spans="1:22" x14ac:dyDescent="0.35">
      <c r="A1" s="58" t="s">
        <v>238</v>
      </c>
      <c r="B1" s="49" t="s">
        <v>313</v>
      </c>
      <c r="C1" s="50" t="s">
        <v>285</v>
      </c>
      <c r="D1" s="50" t="s">
        <v>286</v>
      </c>
      <c r="E1" s="50" t="s">
        <v>287</v>
      </c>
      <c r="F1" s="49" t="s">
        <v>361</v>
      </c>
      <c r="G1" s="50" t="s">
        <v>362</v>
      </c>
      <c r="H1" s="50" t="s">
        <v>363</v>
      </c>
      <c r="I1" s="49" t="s">
        <v>466</v>
      </c>
      <c r="J1" s="50" t="s">
        <v>364</v>
      </c>
      <c r="K1" s="50" t="s">
        <v>365</v>
      </c>
      <c r="L1" s="50" t="s">
        <v>1008</v>
      </c>
      <c r="M1" s="50" t="s">
        <v>1009</v>
      </c>
      <c r="N1" s="51" t="s">
        <v>1010</v>
      </c>
      <c r="O1" s="52" t="s">
        <v>1011</v>
      </c>
      <c r="P1" s="45" t="s">
        <v>1012</v>
      </c>
      <c r="Q1" s="49" t="s">
        <v>1013</v>
      </c>
      <c r="R1" s="50" t="s">
        <v>1014</v>
      </c>
      <c r="S1" s="50" t="s">
        <v>1015</v>
      </c>
      <c r="T1" s="50" t="s">
        <v>1016</v>
      </c>
      <c r="U1" s="50" t="s">
        <v>1017</v>
      </c>
      <c r="V1" s="51" t="s">
        <v>1018</v>
      </c>
    </row>
    <row r="2" spans="1:22" ht="62.5" x14ac:dyDescent="0.35">
      <c r="A2" s="58" t="s">
        <v>476</v>
      </c>
      <c r="B2" s="117" t="s">
        <v>483</v>
      </c>
      <c r="C2" s="117" t="s">
        <v>484</v>
      </c>
      <c r="D2" s="117" t="s">
        <v>485</v>
      </c>
      <c r="E2" s="117" t="s">
        <v>486</v>
      </c>
      <c r="F2" s="32" t="s">
        <v>553</v>
      </c>
      <c r="G2" s="32" t="s">
        <v>542</v>
      </c>
      <c r="H2" s="32" t="s">
        <v>1062</v>
      </c>
      <c r="I2" s="32" t="s">
        <v>638</v>
      </c>
      <c r="J2" s="32" t="s">
        <v>1063</v>
      </c>
      <c r="K2" s="32" t="s">
        <v>548</v>
      </c>
      <c r="L2" s="32" t="s">
        <v>575</v>
      </c>
      <c r="M2" s="32" t="s">
        <v>576</v>
      </c>
      <c r="N2" s="32" t="s">
        <v>651</v>
      </c>
      <c r="O2" s="103" t="s">
        <v>1064</v>
      </c>
      <c r="P2" s="32" t="s">
        <v>650</v>
      </c>
      <c r="Q2" s="32" t="s">
        <v>652</v>
      </c>
      <c r="R2" s="32" t="s">
        <v>590</v>
      </c>
      <c r="S2" s="32" t="s">
        <v>669</v>
      </c>
      <c r="T2" s="32" t="s">
        <v>670</v>
      </c>
      <c r="U2" s="32" t="s">
        <v>591</v>
      </c>
      <c r="V2" s="32" t="s">
        <v>592</v>
      </c>
    </row>
    <row r="3" spans="1:22" ht="139" x14ac:dyDescent="0.35">
      <c r="A3" s="58" t="s">
        <v>81</v>
      </c>
      <c r="B3" s="117" t="s">
        <v>888</v>
      </c>
      <c r="C3" s="117" t="s">
        <v>889</v>
      </c>
      <c r="D3" s="117" t="s">
        <v>890</v>
      </c>
      <c r="E3" s="117" t="s">
        <v>891</v>
      </c>
      <c r="F3" s="32" t="s">
        <v>892</v>
      </c>
      <c r="G3" s="32" t="s">
        <v>893</v>
      </c>
      <c r="H3" s="32" t="s">
        <v>894</v>
      </c>
      <c r="I3" s="32" t="s">
        <v>902</v>
      </c>
      <c r="J3" s="32" t="s">
        <v>903</v>
      </c>
      <c r="K3" s="32" t="s">
        <v>904</v>
      </c>
      <c r="L3" s="32" t="s">
        <v>905</v>
      </c>
      <c r="M3" s="32" t="s">
        <v>906</v>
      </c>
      <c r="N3" s="32" t="s">
        <v>907</v>
      </c>
      <c r="O3" s="103" t="s">
        <v>923</v>
      </c>
      <c r="P3" s="32" t="s">
        <v>908</v>
      </c>
      <c r="Q3" s="32" t="s">
        <v>909</v>
      </c>
      <c r="R3" s="32" t="s">
        <v>910</v>
      </c>
      <c r="S3" s="32" t="s">
        <v>911</v>
      </c>
      <c r="T3" s="32" t="s">
        <v>912</v>
      </c>
      <c r="U3" s="32" t="s">
        <v>913</v>
      </c>
      <c r="V3" s="32" t="s">
        <v>914</v>
      </c>
    </row>
    <row r="4" spans="1:22" ht="126.5" x14ac:dyDescent="0.35">
      <c r="A4" s="58" t="s">
        <v>477</v>
      </c>
      <c r="B4" s="117" t="s">
        <v>895</v>
      </c>
      <c r="C4" s="117" t="s">
        <v>925</v>
      </c>
      <c r="D4" s="117" t="s">
        <v>896</v>
      </c>
      <c r="E4" s="117" t="s">
        <v>897</v>
      </c>
      <c r="F4" s="32" t="s">
        <v>898</v>
      </c>
      <c r="G4" s="32" t="s">
        <v>899</v>
      </c>
      <c r="H4" s="32" t="s">
        <v>900</v>
      </c>
      <c r="I4" s="32" t="s">
        <v>915</v>
      </c>
      <c r="J4" s="32" t="s">
        <v>916</v>
      </c>
      <c r="K4" s="32" t="s">
        <v>917</v>
      </c>
      <c r="L4" s="32" t="s">
        <v>918</v>
      </c>
      <c r="M4" s="32" t="s">
        <v>554</v>
      </c>
      <c r="N4" s="32" t="s">
        <v>919</v>
      </c>
      <c r="O4" s="103" t="s">
        <v>555</v>
      </c>
      <c r="P4" s="32" t="s">
        <v>556</v>
      </c>
      <c r="Q4" s="32" t="s">
        <v>577</v>
      </c>
      <c r="R4" s="32" t="s">
        <v>585</v>
      </c>
      <c r="S4" s="32" t="s">
        <v>664</v>
      </c>
      <c r="T4" s="32" t="s">
        <v>665</v>
      </c>
      <c r="U4" s="32" t="s">
        <v>586</v>
      </c>
      <c r="V4" s="32" t="s">
        <v>587</v>
      </c>
    </row>
    <row r="5" spans="1:22" ht="113" x14ac:dyDescent="0.35">
      <c r="A5" s="58" t="s">
        <v>478</v>
      </c>
      <c r="B5" s="117" t="s">
        <v>989</v>
      </c>
      <c r="C5" s="117" t="s">
        <v>996</v>
      </c>
      <c r="D5" s="117" t="s">
        <v>988</v>
      </c>
      <c r="E5" s="117" t="s">
        <v>887</v>
      </c>
      <c r="F5" s="32" t="s">
        <v>990</v>
      </c>
      <c r="G5" s="32" t="s">
        <v>991</v>
      </c>
      <c r="H5" s="32" t="s">
        <v>992</v>
      </c>
      <c r="I5" s="32" t="s">
        <v>993</v>
      </c>
      <c r="J5" s="32" t="s">
        <v>994</v>
      </c>
      <c r="K5" s="32" t="s">
        <v>995</v>
      </c>
      <c r="L5" s="32" t="s">
        <v>997</v>
      </c>
      <c r="M5" s="32" t="s">
        <v>998</v>
      </c>
      <c r="N5" s="32" t="s">
        <v>999</v>
      </c>
      <c r="O5" s="103" t="s">
        <v>1000</v>
      </c>
      <c r="P5" s="32" t="s">
        <v>1001</v>
      </c>
      <c r="Q5" s="32" t="s">
        <v>1002</v>
      </c>
      <c r="R5" s="32" t="s">
        <v>1006</v>
      </c>
      <c r="S5" s="32" t="s">
        <v>1007</v>
      </c>
      <c r="T5" s="32" t="s">
        <v>1005</v>
      </c>
      <c r="U5" s="32" t="s">
        <v>1003</v>
      </c>
      <c r="V5" s="32" t="s">
        <v>1004</v>
      </c>
    </row>
    <row r="6" spans="1:22" ht="139" x14ac:dyDescent="0.35">
      <c r="A6" s="58" t="s">
        <v>481</v>
      </c>
      <c r="B6" s="117" t="s">
        <v>901</v>
      </c>
      <c r="C6" s="117" t="s">
        <v>487</v>
      </c>
      <c r="D6" s="117" t="s">
        <v>492</v>
      </c>
      <c r="E6" s="117" t="s">
        <v>493</v>
      </c>
      <c r="F6" s="32" t="s">
        <v>540</v>
      </c>
      <c r="G6" s="32" t="s">
        <v>543</v>
      </c>
      <c r="H6" s="32" t="s">
        <v>544</v>
      </c>
      <c r="I6" s="32" t="s">
        <v>920</v>
      </c>
      <c r="J6" s="32" t="s">
        <v>921</v>
      </c>
      <c r="K6" s="32" t="s">
        <v>922</v>
      </c>
      <c r="L6" s="32" t="s">
        <v>557</v>
      </c>
      <c r="M6" s="32" t="s">
        <v>558</v>
      </c>
      <c r="N6" s="32" t="s">
        <v>559</v>
      </c>
      <c r="O6" s="103" t="s">
        <v>560</v>
      </c>
      <c r="P6" s="32" t="s">
        <v>561</v>
      </c>
      <c r="Q6" s="32" t="s">
        <v>562</v>
      </c>
      <c r="R6" s="32" t="s">
        <v>578</v>
      </c>
      <c r="S6" s="32" t="s">
        <v>666</v>
      </c>
      <c r="T6" s="32" t="s">
        <v>667</v>
      </c>
      <c r="U6" s="32" t="s">
        <v>588</v>
      </c>
      <c r="V6" s="32" t="s">
        <v>589</v>
      </c>
    </row>
    <row r="7" spans="1:22" ht="62.5" x14ac:dyDescent="0.35">
      <c r="A7" s="58" t="s">
        <v>479</v>
      </c>
      <c r="B7" s="117" t="s">
        <v>924</v>
      </c>
      <c r="C7" s="117" t="s">
        <v>488</v>
      </c>
      <c r="D7" s="117" t="s">
        <v>491</v>
      </c>
      <c r="E7" s="117" t="s">
        <v>494</v>
      </c>
      <c r="F7" s="32" t="s">
        <v>536</v>
      </c>
      <c r="G7" s="32" t="s">
        <v>545</v>
      </c>
      <c r="H7" s="32" t="s">
        <v>546</v>
      </c>
      <c r="I7" s="32" t="s">
        <v>547</v>
      </c>
      <c r="J7" s="32" t="s">
        <v>550</v>
      </c>
      <c r="K7" s="32" t="s">
        <v>551</v>
      </c>
      <c r="L7" s="32" t="s">
        <v>563</v>
      </c>
      <c r="M7" s="32" t="s">
        <v>564</v>
      </c>
      <c r="N7" s="32" t="s">
        <v>565</v>
      </c>
      <c r="O7" s="103" t="s">
        <v>566</v>
      </c>
      <c r="P7" s="32" t="s">
        <v>567</v>
      </c>
      <c r="Q7" s="32" t="s">
        <v>568</v>
      </c>
      <c r="R7" s="32" t="s">
        <v>579</v>
      </c>
      <c r="S7" s="32" t="s">
        <v>661</v>
      </c>
      <c r="T7" s="32" t="s">
        <v>662</v>
      </c>
      <c r="U7" s="32" t="s">
        <v>580</v>
      </c>
      <c r="V7" s="32" t="s">
        <v>581</v>
      </c>
    </row>
    <row r="8" spans="1:22" ht="100" x14ac:dyDescent="0.35">
      <c r="A8" s="58" t="s">
        <v>480</v>
      </c>
      <c r="B8" s="117" t="s">
        <v>490</v>
      </c>
      <c r="C8" s="117" t="s">
        <v>489</v>
      </c>
      <c r="D8" s="117" t="s">
        <v>495</v>
      </c>
      <c r="E8" s="117" t="s">
        <v>496</v>
      </c>
      <c r="F8" s="32" t="s">
        <v>541</v>
      </c>
      <c r="G8" s="32" t="s">
        <v>537</v>
      </c>
      <c r="H8" s="32" t="s">
        <v>538</v>
      </c>
      <c r="I8" s="32" t="s">
        <v>539</v>
      </c>
      <c r="J8" s="32" t="s">
        <v>552</v>
      </c>
      <c r="K8" s="32" t="s">
        <v>549</v>
      </c>
      <c r="L8" s="32" t="s">
        <v>569</v>
      </c>
      <c r="M8" s="32" t="s">
        <v>570</v>
      </c>
      <c r="N8" s="32" t="s">
        <v>571</v>
      </c>
      <c r="O8" s="103" t="s">
        <v>572</v>
      </c>
      <c r="P8" s="32" t="s">
        <v>573</v>
      </c>
      <c r="Q8" s="32" t="s">
        <v>574</v>
      </c>
      <c r="R8" s="32" t="s">
        <v>582</v>
      </c>
      <c r="S8" s="32" t="s">
        <v>668</v>
      </c>
      <c r="T8" s="32" t="s">
        <v>663</v>
      </c>
      <c r="U8" s="32" t="s">
        <v>583</v>
      </c>
      <c r="V8" s="32" t="s">
        <v>584</v>
      </c>
    </row>
    <row r="13" spans="1:22" x14ac:dyDescent="0.35">
      <c r="B13" s="138"/>
      <c r="C13" s="138"/>
      <c r="G13" s="75"/>
    </row>
    <row r="14" spans="1:22" x14ac:dyDescent="0.35">
      <c r="B14" s="138"/>
      <c r="C14" s="138"/>
      <c r="G14" s="75"/>
    </row>
    <row r="15" spans="1:22" ht="100.5" customHeight="1" x14ac:dyDescent="0.35">
      <c r="B15" s="138"/>
      <c r="C15" s="138"/>
      <c r="G15" s="75"/>
    </row>
    <row r="16" spans="1:22" x14ac:dyDescent="0.35">
      <c r="G16" s="75"/>
    </row>
    <row r="17" spans="7:7" x14ac:dyDescent="0.35">
      <c r="G17" s="75"/>
    </row>
    <row r="18" spans="7:7" x14ac:dyDescent="0.35">
      <c r="G18" s="75"/>
    </row>
    <row r="19" spans="7:7" x14ac:dyDescent="0.35">
      <c r="G19" s="75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tabSelected="1" zoomScaleNormal="100" workbookViewId="0">
      <pane xSplit="2" topLeftCell="P1" activePane="topRight" state="frozen"/>
      <selection pane="topRight" activeCell="G8" sqref="G8"/>
    </sheetView>
  </sheetViews>
  <sheetFormatPr baseColWidth="10" defaultRowHeight="14.5" x14ac:dyDescent="0.35"/>
  <cols>
    <col min="1" max="1" width="12.81640625" customWidth="1"/>
    <col min="2" max="2" width="20.26953125" style="16" customWidth="1"/>
    <col min="3" max="3" width="35" style="16" bestFit="1" customWidth="1"/>
    <col min="4" max="4" width="37.54296875" style="16" customWidth="1"/>
    <col min="5" max="5" width="27" style="16" bestFit="1" customWidth="1"/>
    <col min="6" max="6" width="36.81640625" style="16" bestFit="1" customWidth="1"/>
    <col min="7" max="7" width="31.36328125" style="16" bestFit="1" customWidth="1"/>
    <col min="8" max="8" width="27" style="16" bestFit="1" customWidth="1"/>
    <col min="9" max="9" width="26.26953125" style="16" bestFit="1" customWidth="1"/>
    <col min="10" max="10" width="34.08984375" style="16" bestFit="1" customWidth="1"/>
    <col min="11" max="11" width="32.7265625" style="16" customWidth="1"/>
    <col min="12" max="12" width="30.08984375" style="16" bestFit="1" customWidth="1"/>
    <col min="13" max="13" width="28.6328125" style="8" bestFit="1" customWidth="1"/>
    <col min="14" max="14" width="37.81640625" style="8" bestFit="1" customWidth="1"/>
    <col min="15" max="15" width="36.81640625" style="8" bestFit="1" customWidth="1"/>
    <col min="16" max="16" width="35.36328125" style="8" bestFit="1" customWidth="1"/>
    <col min="17" max="17" width="35.81640625" style="8" bestFit="1" customWidth="1"/>
    <col min="18" max="18" width="36.08984375" style="8" bestFit="1" customWidth="1"/>
    <col min="19" max="19" width="35.26953125" style="8" bestFit="1" customWidth="1"/>
    <col min="20" max="20" width="36.36328125" style="8" customWidth="1"/>
    <col min="21" max="21" width="38.453125" style="8" bestFit="1" customWidth="1"/>
    <col min="22" max="22" width="32.36328125" style="8" bestFit="1" customWidth="1"/>
    <col min="23" max="23" width="31" bestFit="1" customWidth="1"/>
  </cols>
  <sheetData>
    <row r="1" spans="1:34" s="108" customFormat="1" ht="15" thickBot="1" x14ac:dyDescent="0.4">
      <c r="A1" s="44" t="s">
        <v>238</v>
      </c>
      <c r="B1" s="105" t="s">
        <v>250</v>
      </c>
      <c r="C1" s="49" t="s">
        <v>313</v>
      </c>
      <c r="D1" s="50" t="s">
        <v>285</v>
      </c>
      <c r="E1" s="50" t="s">
        <v>286</v>
      </c>
      <c r="F1" s="50" t="s">
        <v>287</v>
      </c>
      <c r="G1" s="49" t="s">
        <v>361</v>
      </c>
      <c r="H1" s="50" t="s">
        <v>362</v>
      </c>
      <c r="I1" s="50" t="s">
        <v>363</v>
      </c>
      <c r="J1" s="49" t="s">
        <v>466</v>
      </c>
      <c r="K1" s="50" t="s">
        <v>364</v>
      </c>
      <c r="L1" s="50" t="s">
        <v>365</v>
      </c>
      <c r="M1" s="50" t="s">
        <v>1008</v>
      </c>
      <c r="N1" s="50" t="s">
        <v>1009</v>
      </c>
      <c r="O1" s="51" t="s">
        <v>1010</v>
      </c>
      <c r="P1" s="52" t="s">
        <v>1011</v>
      </c>
      <c r="Q1" s="45" t="s">
        <v>1012</v>
      </c>
      <c r="R1" s="49" t="s">
        <v>1013</v>
      </c>
      <c r="S1" s="50" t="s">
        <v>1014</v>
      </c>
      <c r="T1" s="50" t="s">
        <v>1015</v>
      </c>
      <c r="U1" s="50" t="s">
        <v>1016</v>
      </c>
      <c r="V1" s="50" t="s">
        <v>1017</v>
      </c>
      <c r="W1" s="51" t="s">
        <v>1018</v>
      </c>
      <c r="X1" s="106"/>
      <c r="Y1" s="106"/>
      <c r="Z1" s="107"/>
      <c r="AA1" s="107"/>
      <c r="AB1" s="107"/>
      <c r="AC1" s="107"/>
      <c r="AD1" s="107"/>
      <c r="AE1" s="107"/>
      <c r="AF1" s="107"/>
      <c r="AG1" s="107"/>
      <c r="AH1" s="107"/>
    </row>
    <row r="2" spans="1:34" ht="62.5" x14ac:dyDescent="0.35">
      <c r="A2" s="142" t="s">
        <v>324</v>
      </c>
      <c r="B2" s="109" t="s">
        <v>251</v>
      </c>
      <c r="C2" s="113" t="s">
        <v>314</v>
      </c>
      <c r="D2" s="33" t="s">
        <v>321</v>
      </c>
      <c r="E2" s="33" t="s">
        <v>315</v>
      </c>
      <c r="F2" s="33"/>
      <c r="G2" s="33" t="s">
        <v>743</v>
      </c>
      <c r="H2" s="33" t="s">
        <v>375</v>
      </c>
      <c r="I2" s="33" t="s">
        <v>372</v>
      </c>
      <c r="J2" s="33"/>
      <c r="K2" s="33" t="s">
        <v>779</v>
      </c>
      <c r="L2" s="33" t="s">
        <v>780</v>
      </c>
      <c r="M2" s="33" t="s">
        <v>781</v>
      </c>
      <c r="N2" s="33"/>
      <c r="O2" s="33"/>
      <c r="P2" s="33" t="s">
        <v>815</v>
      </c>
      <c r="Q2" s="33" t="s">
        <v>816</v>
      </c>
      <c r="R2" s="33" t="s">
        <v>817</v>
      </c>
      <c r="S2" s="33"/>
      <c r="T2" s="33"/>
      <c r="U2" s="33" t="s">
        <v>844</v>
      </c>
      <c r="V2" s="33" t="s">
        <v>845</v>
      </c>
      <c r="W2" s="34" t="s">
        <v>846</v>
      </c>
      <c r="X2" s="15"/>
      <c r="Y2" s="15"/>
      <c r="Z2" s="8"/>
      <c r="AA2" s="8"/>
      <c r="AB2" s="8"/>
      <c r="AC2" s="8"/>
      <c r="AD2" s="8"/>
      <c r="AE2" s="8"/>
      <c r="AF2" s="8"/>
      <c r="AG2" s="8"/>
      <c r="AH2" s="8"/>
    </row>
    <row r="3" spans="1:34" ht="62.5" x14ac:dyDescent="0.35">
      <c r="A3" s="143"/>
      <c r="B3" s="110" t="s">
        <v>252</v>
      </c>
      <c r="C3" s="114" t="s">
        <v>741</v>
      </c>
      <c r="D3" s="32" t="s">
        <v>322</v>
      </c>
      <c r="E3" s="32" t="s">
        <v>290</v>
      </c>
      <c r="F3" s="32" t="s">
        <v>739</v>
      </c>
      <c r="G3" s="32" t="s">
        <v>744</v>
      </c>
      <c r="H3" s="32" t="s">
        <v>373</v>
      </c>
      <c r="I3" s="32" t="s">
        <v>374</v>
      </c>
      <c r="J3" s="32"/>
      <c r="K3" s="32" t="s">
        <v>782</v>
      </c>
      <c r="L3" s="32" t="s">
        <v>783</v>
      </c>
      <c r="M3" s="32" t="s">
        <v>784</v>
      </c>
      <c r="N3" s="32" t="s">
        <v>785</v>
      </c>
      <c r="O3" s="32" t="s">
        <v>818</v>
      </c>
      <c r="P3" s="32" t="s">
        <v>819</v>
      </c>
      <c r="Q3" s="32" t="s">
        <v>820</v>
      </c>
      <c r="R3" s="32" t="s">
        <v>821</v>
      </c>
      <c r="S3" s="32" t="s">
        <v>847</v>
      </c>
      <c r="T3" s="32"/>
      <c r="U3" s="32" t="s">
        <v>848</v>
      </c>
      <c r="V3" s="32" t="s">
        <v>849</v>
      </c>
      <c r="W3" s="35" t="s">
        <v>850</v>
      </c>
      <c r="X3" s="15"/>
      <c r="Y3" s="15"/>
      <c r="Z3" s="8"/>
      <c r="AA3" s="8"/>
      <c r="AB3" s="8"/>
      <c r="AC3" s="8"/>
      <c r="AD3" s="8"/>
      <c r="AE3" s="8"/>
      <c r="AF3" s="8"/>
      <c r="AG3" s="8"/>
      <c r="AH3" s="8"/>
    </row>
    <row r="4" spans="1:34" ht="50" x14ac:dyDescent="0.35">
      <c r="A4" s="143"/>
      <c r="B4" s="110" t="s">
        <v>264</v>
      </c>
      <c r="C4" s="114"/>
      <c r="D4" s="32" t="s">
        <v>740</v>
      </c>
      <c r="E4" s="32" t="s">
        <v>291</v>
      </c>
      <c r="F4" s="32" t="s">
        <v>316</v>
      </c>
      <c r="G4" s="32" t="s">
        <v>745</v>
      </c>
      <c r="H4" s="32" t="s">
        <v>376</v>
      </c>
      <c r="I4" s="32"/>
      <c r="J4" s="32" t="s">
        <v>778</v>
      </c>
      <c r="K4" s="32"/>
      <c r="L4" s="32"/>
      <c r="M4" s="32" t="s">
        <v>786</v>
      </c>
      <c r="N4" s="32" t="s">
        <v>787</v>
      </c>
      <c r="O4" s="32"/>
      <c r="P4" s="32"/>
      <c r="Q4" s="32" t="s">
        <v>822</v>
      </c>
      <c r="R4" s="32" t="s">
        <v>823</v>
      </c>
      <c r="S4" s="32" t="s">
        <v>851</v>
      </c>
      <c r="T4" s="32"/>
      <c r="U4" s="32"/>
      <c r="V4" s="32"/>
      <c r="W4" s="35" t="s">
        <v>852</v>
      </c>
      <c r="X4" s="15"/>
      <c r="Y4" s="15"/>
      <c r="Z4" s="8"/>
      <c r="AA4" s="8"/>
      <c r="AB4" s="8"/>
      <c r="AC4" s="8"/>
      <c r="AD4" s="8"/>
      <c r="AE4" s="8"/>
      <c r="AF4" s="8"/>
      <c r="AG4" s="8"/>
      <c r="AH4" s="8"/>
    </row>
    <row r="5" spans="1:34" ht="62.5" x14ac:dyDescent="0.35">
      <c r="A5" s="143"/>
      <c r="B5" s="110" t="s">
        <v>254</v>
      </c>
      <c r="C5" s="114" t="s">
        <v>742</v>
      </c>
      <c r="D5" s="32"/>
      <c r="E5" s="32" t="s">
        <v>317</v>
      </c>
      <c r="F5" s="32"/>
      <c r="G5" s="32" t="s">
        <v>746</v>
      </c>
      <c r="H5" s="32"/>
      <c r="I5" s="32" t="s">
        <v>748</v>
      </c>
      <c r="J5" s="32"/>
      <c r="K5" s="32"/>
      <c r="L5" s="32"/>
      <c r="M5" s="32"/>
      <c r="N5" s="32" t="s">
        <v>788</v>
      </c>
      <c r="O5" s="32" t="s">
        <v>824</v>
      </c>
      <c r="P5" s="32" t="s">
        <v>825</v>
      </c>
      <c r="Q5" s="32" t="s">
        <v>826</v>
      </c>
      <c r="R5" s="32" t="s">
        <v>827</v>
      </c>
      <c r="S5" s="32" t="s">
        <v>853</v>
      </c>
      <c r="T5" s="32" t="s">
        <v>854</v>
      </c>
      <c r="U5" s="32" t="s">
        <v>855</v>
      </c>
      <c r="V5" s="32" t="s">
        <v>856</v>
      </c>
      <c r="W5" s="35" t="s">
        <v>857</v>
      </c>
      <c r="X5" s="15"/>
      <c r="Y5" s="15"/>
      <c r="Z5" s="8"/>
      <c r="AA5" s="8"/>
      <c r="AB5" s="8"/>
      <c r="AC5" s="8"/>
      <c r="AD5" s="8"/>
      <c r="AE5" s="8"/>
      <c r="AF5" s="8"/>
      <c r="AG5" s="8"/>
      <c r="AH5" s="8"/>
    </row>
    <row r="6" spans="1:34" ht="50.5" thickBot="1" x14ac:dyDescent="0.4">
      <c r="A6" s="143"/>
      <c r="B6" s="111" t="s">
        <v>318</v>
      </c>
      <c r="C6" s="115" t="s">
        <v>319</v>
      </c>
      <c r="D6" s="116" t="s">
        <v>886</v>
      </c>
      <c r="E6" s="36"/>
      <c r="F6" s="36"/>
      <c r="G6" s="36" t="s">
        <v>747</v>
      </c>
      <c r="H6" s="36"/>
      <c r="I6" s="36"/>
      <c r="J6" s="36"/>
      <c r="K6" s="36" t="s">
        <v>789</v>
      </c>
      <c r="L6" s="36" t="s">
        <v>790</v>
      </c>
      <c r="M6" s="36"/>
      <c r="N6" s="36" t="s">
        <v>791</v>
      </c>
      <c r="O6" s="36"/>
      <c r="P6" s="36"/>
      <c r="Q6" s="36"/>
      <c r="R6" s="36" t="s">
        <v>828</v>
      </c>
      <c r="S6" s="36" t="s">
        <v>858</v>
      </c>
      <c r="T6" s="36" t="s">
        <v>859</v>
      </c>
      <c r="U6" s="36"/>
      <c r="V6" s="36" t="s">
        <v>860</v>
      </c>
      <c r="W6" s="37" t="s">
        <v>861</v>
      </c>
      <c r="X6" s="15"/>
      <c r="Y6" s="15"/>
      <c r="Z6" s="8"/>
      <c r="AA6" s="8"/>
      <c r="AB6" s="8"/>
      <c r="AC6" s="8"/>
      <c r="AD6" s="8"/>
      <c r="AE6" s="8"/>
      <c r="AF6" s="8"/>
      <c r="AG6" s="8"/>
      <c r="AH6" s="8"/>
    </row>
    <row r="7" spans="1:34" ht="50" x14ac:dyDescent="0.35">
      <c r="A7" s="139" t="s">
        <v>323</v>
      </c>
      <c r="B7" s="109" t="s">
        <v>1057</v>
      </c>
      <c r="C7" s="113" t="s">
        <v>749</v>
      </c>
      <c r="D7" s="33" t="s">
        <v>754</v>
      </c>
      <c r="E7" s="33" t="s">
        <v>755</v>
      </c>
      <c r="F7" s="33" t="s">
        <v>756</v>
      </c>
      <c r="G7" s="33" t="s">
        <v>757</v>
      </c>
      <c r="H7" s="33" t="s">
        <v>758</v>
      </c>
      <c r="I7" s="33" t="s">
        <v>759</v>
      </c>
      <c r="J7" s="33" t="s">
        <v>792</v>
      </c>
      <c r="K7" s="33" t="s">
        <v>793</v>
      </c>
      <c r="L7" s="33" t="s">
        <v>794</v>
      </c>
      <c r="M7" s="33" t="s">
        <v>795</v>
      </c>
      <c r="N7" s="33" t="s">
        <v>796</v>
      </c>
      <c r="O7" s="33" t="s">
        <v>829</v>
      </c>
      <c r="P7" s="33" t="s">
        <v>830</v>
      </c>
      <c r="Q7" s="33" t="s">
        <v>831</v>
      </c>
      <c r="R7" s="33" t="s">
        <v>832</v>
      </c>
      <c r="S7" s="33" t="s">
        <v>862</v>
      </c>
      <c r="T7" s="33" t="s">
        <v>863</v>
      </c>
      <c r="U7" s="33" t="s">
        <v>864</v>
      </c>
      <c r="V7" s="33" t="s">
        <v>865</v>
      </c>
      <c r="W7" s="34" t="s">
        <v>866</v>
      </c>
      <c r="Z7" s="8"/>
      <c r="AA7" s="8"/>
      <c r="AB7" s="8"/>
      <c r="AC7" s="8"/>
      <c r="AD7" s="8"/>
      <c r="AE7" s="8"/>
      <c r="AF7" s="8"/>
      <c r="AG7" s="8"/>
      <c r="AH7" s="8"/>
    </row>
    <row r="8" spans="1:34" ht="75" x14ac:dyDescent="0.35">
      <c r="A8" s="140"/>
      <c r="B8" s="110" t="s">
        <v>1061</v>
      </c>
      <c r="C8" s="114" t="s">
        <v>750</v>
      </c>
      <c r="D8" s="32" t="s">
        <v>760</v>
      </c>
      <c r="E8" s="32" t="s">
        <v>761</v>
      </c>
      <c r="F8" s="32" t="s">
        <v>762</v>
      </c>
      <c r="G8" s="32"/>
      <c r="H8" s="32" t="s">
        <v>763</v>
      </c>
      <c r="I8" s="32" t="s">
        <v>764</v>
      </c>
      <c r="J8" s="32" t="s">
        <v>797</v>
      </c>
      <c r="K8" s="32" t="s">
        <v>798</v>
      </c>
      <c r="L8" s="32" t="s">
        <v>799</v>
      </c>
      <c r="M8" s="32" t="s">
        <v>800</v>
      </c>
      <c r="N8" s="32" t="s">
        <v>801</v>
      </c>
      <c r="O8" s="32" t="s">
        <v>833</v>
      </c>
      <c r="P8" s="32" t="s">
        <v>834</v>
      </c>
      <c r="Q8" s="32"/>
      <c r="R8" s="32" t="s">
        <v>835</v>
      </c>
      <c r="S8" s="32" t="s">
        <v>867</v>
      </c>
      <c r="T8" s="32" t="s">
        <v>868</v>
      </c>
      <c r="U8" s="32" t="s">
        <v>869</v>
      </c>
      <c r="V8" s="32" t="s">
        <v>870</v>
      </c>
      <c r="W8" s="35" t="s">
        <v>871</v>
      </c>
      <c r="Z8" s="8"/>
      <c r="AA8" s="8"/>
      <c r="AB8" s="8"/>
      <c r="AC8" s="8"/>
      <c r="AD8" s="8"/>
      <c r="AE8" s="8"/>
      <c r="AF8" s="8"/>
      <c r="AG8" s="8"/>
      <c r="AH8" s="8"/>
    </row>
    <row r="9" spans="1:34" ht="62.5" x14ac:dyDescent="0.35">
      <c r="A9" s="140"/>
      <c r="B9" s="110" t="s">
        <v>1054</v>
      </c>
      <c r="C9" s="114" t="s">
        <v>751</v>
      </c>
      <c r="D9" s="32" t="s">
        <v>765</v>
      </c>
      <c r="E9" s="32" t="s">
        <v>766</v>
      </c>
      <c r="F9" s="32" t="s">
        <v>767</v>
      </c>
      <c r="G9" s="32" t="s">
        <v>768</v>
      </c>
      <c r="H9" s="32" t="s">
        <v>769</v>
      </c>
      <c r="I9" s="32"/>
      <c r="J9" s="32" t="s">
        <v>802</v>
      </c>
      <c r="K9" s="32" t="s">
        <v>803</v>
      </c>
      <c r="L9" s="32" t="s">
        <v>804</v>
      </c>
      <c r="M9" s="32" t="s">
        <v>805</v>
      </c>
      <c r="N9" s="32" t="s">
        <v>806</v>
      </c>
      <c r="O9" s="32"/>
      <c r="P9" s="32" t="s">
        <v>836</v>
      </c>
      <c r="Q9" s="32" t="s">
        <v>837</v>
      </c>
      <c r="R9" s="32" t="s">
        <v>1056</v>
      </c>
      <c r="S9" s="32" t="s">
        <v>1055</v>
      </c>
      <c r="T9" s="32" t="s">
        <v>872</v>
      </c>
      <c r="U9" s="32" t="s">
        <v>873</v>
      </c>
      <c r="V9" s="32" t="s">
        <v>874</v>
      </c>
      <c r="W9" s="35" t="s">
        <v>875</v>
      </c>
      <c r="Z9" s="8"/>
      <c r="AA9" s="8"/>
      <c r="AB9" s="8"/>
      <c r="AC9" s="8"/>
      <c r="AD9" s="8"/>
      <c r="AE9" s="8"/>
      <c r="AF9" s="8"/>
      <c r="AG9" s="8"/>
      <c r="AH9" s="8"/>
    </row>
    <row r="10" spans="1:34" ht="50" x14ac:dyDescent="0.35">
      <c r="A10" s="140"/>
      <c r="B10" s="110" t="s">
        <v>320</v>
      </c>
      <c r="C10" s="114" t="s">
        <v>752</v>
      </c>
      <c r="D10" s="32" t="s">
        <v>770</v>
      </c>
      <c r="E10" s="32"/>
      <c r="F10" s="32"/>
      <c r="G10" s="32"/>
      <c r="H10" s="32" t="s">
        <v>771</v>
      </c>
      <c r="I10" s="32"/>
      <c r="J10" s="32"/>
      <c r="K10" s="32" t="s">
        <v>807</v>
      </c>
      <c r="L10" s="32" t="s">
        <v>808</v>
      </c>
      <c r="M10" s="32" t="s">
        <v>809</v>
      </c>
      <c r="N10" s="32" t="s">
        <v>810</v>
      </c>
      <c r="O10" s="32" t="s">
        <v>838</v>
      </c>
      <c r="P10" s="32" t="s">
        <v>839</v>
      </c>
      <c r="Q10" s="32" t="s">
        <v>840</v>
      </c>
      <c r="R10" s="32" t="s">
        <v>1060</v>
      </c>
      <c r="S10" s="32" t="s">
        <v>876</v>
      </c>
      <c r="T10" s="32" t="s">
        <v>877</v>
      </c>
      <c r="U10" s="32" t="s">
        <v>878</v>
      </c>
      <c r="V10" s="32" t="s">
        <v>879</v>
      </c>
      <c r="W10" s="35" t="s">
        <v>880</v>
      </c>
      <c r="Z10" s="8"/>
      <c r="AA10" s="8"/>
      <c r="AB10" s="8"/>
      <c r="AC10" s="8"/>
      <c r="AD10" s="8"/>
      <c r="AE10" s="8"/>
      <c r="AF10" s="8"/>
      <c r="AG10" s="8"/>
      <c r="AH10" s="8"/>
    </row>
    <row r="11" spans="1:34" ht="63" thickBot="1" x14ac:dyDescent="0.4">
      <c r="A11" s="141"/>
      <c r="B11" s="112" t="s">
        <v>1058</v>
      </c>
      <c r="C11" s="115" t="s">
        <v>753</v>
      </c>
      <c r="D11" s="36" t="s">
        <v>772</v>
      </c>
      <c r="E11" s="36" t="s">
        <v>773</v>
      </c>
      <c r="F11" s="36" t="s">
        <v>774</v>
      </c>
      <c r="G11" s="36" t="s">
        <v>775</v>
      </c>
      <c r="H11" s="36" t="s">
        <v>776</v>
      </c>
      <c r="I11" s="36" t="s">
        <v>777</v>
      </c>
      <c r="J11" s="36" t="s">
        <v>811</v>
      </c>
      <c r="K11" s="36" t="s">
        <v>812</v>
      </c>
      <c r="L11" s="36" t="s">
        <v>813</v>
      </c>
      <c r="M11" s="36" t="s">
        <v>814</v>
      </c>
      <c r="N11" s="36"/>
      <c r="O11" s="36" t="s">
        <v>841</v>
      </c>
      <c r="P11" s="36" t="s">
        <v>842</v>
      </c>
      <c r="Q11" s="36" t="s">
        <v>843</v>
      </c>
      <c r="R11" s="36" t="s">
        <v>1059</v>
      </c>
      <c r="S11" s="36" t="s">
        <v>881</v>
      </c>
      <c r="T11" s="36" t="s">
        <v>882</v>
      </c>
      <c r="U11" s="36" t="s">
        <v>883</v>
      </c>
      <c r="V11" s="36" t="s">
        <v>884</v>
      </c>
      <c r="W11" s="37" t="s">
        <v>885</v>
      </c>
    </row>
    <row r="15" spans="1:34" x14ac:dyDescent="0.35">
      <c r="J15" s="8"/>
      <c r="K15" s="8"/>
      <c r="L15" s="8"/>
      <c r="S15"/>
      <c r="T15"/>
      <c r="U15"/>
      <c r="V15"/>
    </row>
    <row r="16" spans="1:34" x14ac:dyDescent="0.35">
      <c r="L16" s="8"/>
      <c r="U16"/>
      <c r="V16"/>
    </row>
    <row r="17" spans="9:22" x14ac:dyDescent="0.35">
      <c r="J17" s="8"/>
      <c r="K17" s="8"/>
      <c r="L17" s="8"/>
      <c r="Q17"/>
      <c r="R17"/>
      <c r="S17"/>
      <c r="T17"/>
      <c r="U17"/>
      <c r="V17"/>
    </row>
    <row r="18" spans="9:22" ht="23.5" customHeight="1" x14ac:dyDescent="0.35">
      <c r="I18" s="8"/>
      <c r="J18" s="8"/>
      <c r="K18" s="8"/>
      <c r="L18" s="8"/>
      <c r="O18" s="16"/>
      <c r="P18" s="16"/>
      <c r="Q18"/>
      <c r="R18"/>
      <c r="S18"/>
      <c r="T18"/>
      <c r="U18"/>
      <c r="V18"/>
    </row>
    <row r="19" spans="9:22" x14ac:dyDescent="0.35">
      <c r="I19" s="8"/>
      <c r="J19" s="8"/>
      <c r="K19" s="8"/>
      <c r="L19" s="8"/>
      <c r="O19" s="16"/>
      <c r="P19" s="16"/>
      <c r="Q19"/>
      <c r="R19"/>
      <c r="S19"/>
      <c r="T19"/>
      <c r="U19"/>
      <c r="V19"/>
    </row>
    <row r="20" spans="9:22" x14ac:dyDescent="0.35">
      <c r="I20" s="8"/>
      <c r="J20" s="8"/>
      <c r="K20" s="8"/>
      <c r="L20" s="8"/>
      <c r="O20" s="16"/>
      <c r="P20" s="16"/>
      <c r="Q20"/>
      <c r="R20"/>
      <c r="S20"/>
      <c r="T20"/>
      <c r="U20"/>
      <c r="V20"/>
    </row>
    <row r="21" spans="9:22" x14ac:dyDescent="0.35">
      <c r="I21" s="8"/>
      <c r="J21" s="8"/>
      <c r="K21" s="8"/>
      <c r="L21" s="8"/>
      <c r="O21" s="16"/>
      <c r="P21" s="16"/>
      <c r="Q21"/>
      <c r="R21"/>
      <c r="S21"/>
      <c r="T21"/>
      <c r="U21"/>
      <c r="V21"/>
    </row>
    <row r="22" spans="9:22" x14ac:dyDescent="0.35">
      <c r="I22" s="8"/>
      <c r="J22" s="8"/>
      <c r="K22" s="8"/>
      <c r="L22" s="8"/>
      <c r="O22" s="16"/>
      <c r="P22" s="16"/>
      <c r="Q22"/>
      <c r="R22"/>
      <c r="S22"/>
      <c r="T22"/>
      <c r="U22"/>
      <c r="V22"/>
    </row>
    <row r="23" spans="9:22" x14ac:dyDescent="0.35">
      <c r="I23" s="8"/>
      <c r="J23" s="8"/>
      <c r="K23" s="8"/>
      <c r="L23" s="8"/>
      <c r="O23" s="16"/>
      <c r="P23" s="16"/>
      <c r="Q23"/>
      <c r="R23"/>
      <c r="S23"/>
      <c r="T23"/>
      <c r="U23"/>
      <c r="V23"/>
    </row>
    <row r="24" spans="9:22" x14ac:dyDescent="0.35">
      <c r="I24" s="8"/>
      <c r="J24" s="8"/>
      <c r="K24" s="8"/>
      <c r="L24" s="8"/>
      <c r="O24" s="16"/>
      <c r="P24" s="16"/>
      <c r="Q24"/>
      <c r="R24"/>
      <c r="S24"/>
      <c r="T24"/>
      <c r="U24"/>
      <c r="V24"/>
    </row>
    <row r="25" spans="9:22" x14ac:dyDescent="0.35">
      <c r="I25" s="8"/>
      <c r="J25" s="8"/>
      <c r="K25" s="8"/>
      <c r="L25" s="8"/>
      <c r="O25" s="16"/>
      <c r="P25" s="16"/>
      <c r="Q25"/>
      <c r="R25"/>
      <c r="S25"/>
      <c r="T25"/>
      <c r="U25"/>
      <c r="V25"/>
    </row>
    <row r="26" spans="9:22" x14ac:dyDescent="0.35">
      <c r="K26" s="8"/>
      <c r="L26" s="8"/>
      <c r="Q26" s="16"/>
      <c r="R26" s="16"/>
      <c r="S26"/>
      <c r="T26"/>
      <c r="U26"/>
      <c r="V26"/>
    </row>
    <row r="27" spans="9:22" x14ac:dyDescent="0.35">
      <c r="K27" s="8"/>
      <c r="L27" s="8"/>
      <c r="Q27" s="16"/>
      <c r="R27" s="16"/>
      <c r="S27"/>
      <c r="T27"/>
      <c r="U27"/>
      <c r="V27"/>
    </row>
    <row r="28" spans="9:22" x14ac:dyDescent="0.35">
      <c r="S28" s="16"/>
      <c r="T28" s="16"/>
      <c r="U28" s="16"/>
      <c r="V28" s="16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7265625" bestFit="1" customWidth="1"/>
    <col min="3" max="3" width="39.6328125" bestFit="1" customWidth="1"/>
    <col min="4" max="4" width="32.1796875" bestFit="1" customWidth="1"/>
    <col min="5" max="5" width="39.26953125" bestFit="1" customWidth="1"/>
    <col min="6" max="6" width="41.7265625" bestFit="1" customWidth="1"/>
    <col min="7" max="7" width="29.26953125" bestFit="1" customWidth="1"/>
    <col min="8" max="8" width="36" bestFit="1" customWidth="1"/>
    <col min="9" max="9" width="21.6328125" bestFit="1" customWidth="1"/>
    <col min="10" max="10" width="30.26953125" customWidth="1"/>
    <col min="11" max="11" width="34.08984375" bestFit="1" customWidth="1"/>
    <col min="12" max="12" width="38.36328125" bestFit="1" customWidth="1"/>
    <col min="13" max="13" width="28.6328125" bestFit="1" customWidth="1"/>
    <col min="14" max="14" width="23.54296875" bestFit="1" customWidth="1"/>
    <col min="15" max="15" width="23.26953125" bestFit="1" customWidth="1"/>
    <col min="16" max="16" width="47.81640625" bestFit="1" customWidth="1"/>
    <col min="17" max="17" width="27.9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90625" bestFit="1" customWidth="1"/>
    <col min="24" max="24" width="21.81640625" customWidth="1"/>
  </cols>
  <sheetData>
    <row r="1" spans="1:24" ht="15" thickBot="1" x14ac:dyDescent="0.4">
      <c r="A1" s="46" t="s">
        <v>238</v>
      </c>
      <c r="B1" s="47" t="s">
        <v>250</v>
      </c>
      <c r="C1" s="47" t="s">
        <v>313</v>
      </c>
      <c r="D1" s="47" t="s">
        <v>285</v>
      </c>
      <c r="E1" s="47" t="s">
        <v>286</v>
      </c>
      <c r="F1" s="47" t="s">
        <v>287</v>
      </c>
      <c r="G1" s="47" t="s">
        <v>361</v>
      </c>
      <c r="H1" s="47" t="s">
        <v>362</v>
      </c>
      <c r="I1" s="47" t="s">
        <v>363</v>
      </c>
      <c r="J1" s="47" t="s">
        <v>466</v>
      </c>
      <c r="K1" s="47" t="s">
        <v>364</v>
      </c>
      <c r="L1" s="47" t="s">
        <v>365</v>
      </c>
      <c r="M1" s="47" t="s">
        <v>366</v>
      </c>
      <c r="N1" s="47" t="s">
        <v>288</v>
      </c>
      <c r="O1" s="47" t="s">
        <v>367</v>
      </c>
      <c r="P1" s="47" t="s">
        <v>368</v>
      </c>
      <c r="Q1" s="47" t="s">
        <v>369</v>
      </c>
      <c r="R1" s="47" t="s">
        <v>370</v>
      </c>
      <c r="S1" s="47" t="s">
        <v>371</v>
      </c>
      <c r="T1" s="47" t="s">
        <v>289</v>
      </c>
      <c r="U1" s="47" t="s">
        <v>671</v>
      </c>
      <c r="V1" s="47" t="s">
        <v>672</v>
      </c>
      <c r="W1" s="47" t="s">
        <v>659</v>
      </c>
      <c r="X1" s="48" t="s">
        <v>660</v>
      </c>
    </row>
    <row r="2" spans="1:24" ht="25" x14ac:dyDescent="0.35">
      <c r="A2" s="142" t="s">
        <v>255</v>
      </c>
      <c r="B2" s="38" t="s">
        <v>256</v>
      </c>
      <c r="C2" s="39" t="s">
        <v>292</v>
      </c>
      <c r="D2" s="33" t="s">
        <v>292</v>
      </c>
      <c r="E2" s="33" t="s">
        <v>293</v>
      </c>
      <c r="F2" s="33" t="s">
        <v>325</v>
      </c>
      <c r="G2" s="33" t="s">
        <v>258</v>
      </c>
      <c r="H2" s="33" t="s">
        <v>377</v>
      </c>
      <c r="I2" s="33" t="s">
        <v>378</v>
      </c>
      <c r="J2" s="33" t="s">
        <v>467</v>
      </c>
      <c r="K2" s="33" t="s">
        <v>292</v>
      </c>
      <c r="L2" s="33" t="s">
        <v>379</v>
      </c>
      <c r="M2" s="33" t="s">
        <v>258</v>
      </c>
      <c r="N2" s="33" t="s">
        <v>258</v>
      </c>
      <c r="O2" s="33" t="s">
        <v>258</v>
      </c>
      <c r="P2" s="33" t="s">
        <v>258</v>
      </c>
      <c r="Q2" s="33" t="s">
        <v>380</v>
      </c>
      <c r="R2" s="33" t="s">
        <v>258</v>
      </c>
      <c r="S2" s="33" t="s">
        <v>258</v>
      </c>
      <c r="T2" s="33" t="s">
        <v>258</v>
      </c>
      <c r="U2" s="33" t="s">
        <v>258</v>
      </c>
      <c r="V2" s="33" t="s">
        <v>673</v>
      </c>
      <c r="W2" s="33" t="s">
        <v>292</v>
      </c>
      <c r="X2" s="34" t="s">
        <v>258</v>
      </c>
    </row>
    <row r="3" spans="1:24" ht="37.5" x14ac:dyDescent="0.35">
      <c r="A3" s="143"/>
      <c r="B3" s="40" t="s">
        <v>326</v>
      </c>
      <c r="C3" s="41" t="s">
        <v>347</v>
      </c>
      <c r="D3" s="32" t="s">
        <v>327</v>
      </c>
      <c r="E3" s="32" t="s">
        <v>294</v>
      </c>
      <c r="F3" s="32" t="s">
        <v>348</v>
      </c>
      <c r="G3" s="32" t="s">
        <v>381</v>
      </c>
      <c r="H3" s="32" t="s">
        <v>431</v>
      </c>
      <c r="I3" s="32" t="s">
        <v>432</v>
      </c>
      <c r="J3" s="32" t="s">
        <v>258</v>
      </c>
      <c r="K3" s="32" t="s">
        <v>433</v>
      </c>
      <c r="L3" s="32" t="s">
        <v>382</v>
      </c>
      <c r="M3" s="32" t="s">
        <v>258</v>
      </c>
      <c r="N3" s="32" t="s">
        <v>258</v>
      </c>
      <c r="O3" s="32" t="s">
        <v>434</v>
      </c>
      <c r="P3" s="32" t="s">
        <v>258</v>
      </c>
      <c r="Q3" s="32" t="s">
        <v>258</v>
      </c>
      <c r="R3" s="32" t="s">
        <v>407</v>
      </c>
      <c r="S3" s="32" t="s">
        <v>435</v>
      </c>
      <c r="T3" s="32" t="s">
        <v>258</v>
      </c>
      <c r="U3" s="32" t="s">
        <v>674</v>
      </c>
      <c r="V3" s="32" t="s">
        <v>679</v>
      </c>
      <c r="W3" s="32" t="s">
        <v>295</v>
      </c>
      <c r="X3" s="35" t="s">
        <v>311</v>
      </c>
    </row>
    <row r="4" spans="1:24" ht="62.5" x14ac:dyDescent="0.35">
      <c r="A4" s="143"/>
      <c r="B4" s="40" t="s">
        <v>257</v>
      </c>
      <c r="C4" s="41" t="s">
        <v>306</v>
      </c>
      <c r="D4" s="32" t="s">
        <v>307</v>
      </c>
      <c r="E4" s="32" t="s">
        <v>258</v>
      </c>
      <c r="F4" s="32" t="s">
        <v>308</v>
      </c>
      <c r="G4" s="32" t="s">
        <v>383</v>
      </c>
      <c r="H4" s="32" t="s">
        <v>436</v>
      </c>
      <c r="I4" s="32" t="s">
        <v>384</v>
      </c>
      <c r="J4" s="32" t="s">
        <v>470</v>
      </c>
      <c r="K4" s="32" t="s">
        <v>437</v>
      </c>
      <c r="L4" s="32" t="s">
        <v>385</v>
      </c>
      <c r="M4" s="32" t="s">
        <v>408</v>
      </c>
      <c r="N4" s="32" t="s">
        <v>296</v>
      </c>
      <c r="O4" s="32" t="s">
        <v>258</v>
      </c>
      <c r="P4" s="32" t="s">
        <v>386</v>
      </c>
      <c r="Q4" s="32" t="s">
        <v>387</v>
      </c>
      <c r="R4" s="32" t="s">
        <v>409</v>
      </c>
      <c r="S4" s="32" t="s">
        <v>388</v>
      </c>
      <c r="T4" s="32" t="s">
        <v>258</v>
      </c>
      <c r="U4" s="32" t="s">
        <v>675</v>
      </c>
      <c r="V4" s="32" t="s">
        <v>676</v>
      </c>
      <c r="W4" s="32" t="s">
        <v>258</v>
      </c>
      <c r="X4" s="35" t="s">
        <v>328</v>
      </c>
    </row>
    <row r="5" spans="1:24" ht="25.5" thickBot="1" x14ac:dyDescent="0.4">
      <c r="A5" s="144"/>
      <c r="B5" s="42" t="s">
        <v>329</v>
      </c>
      <c r="C5" s="43" t="s">
        <v>258</v>
      </c>
      <c r="D5" s="36" t="s">
        <v>258</v>
      </c>
      <c r="E5" s="36" t="s">
        <v>258</v>
      </c>
      <c r="F5" s="36" t="s">
        <v>349</v>
      </c>
      <c r="G5" s="36" t="s">
        <v>389</v>
      </c>
      <c r="H5" s="36" t="s">
        <v>390</v>
      </c>
      <c r="I5" s="36" t="s">
        <v>258</v>
      </c>
      <c r="J5" s="36" t="s">
        <v>258</v>
      </c>
      <c r="K5" s="36" t="s">
        <v>391</v>
      </c>
      <c r="L5" s="36" t="s">
        <v>438</v>
      </c>
      <c r="M5" s="36" t="s">
        <v>258</v>
      </c>
      <c r="N5" s="36" t="s">
        <v>258</v>
      </c>
      <c r="O5" s="36" t="s">
        <v>258</v>
      </c>
      <c r="P5" s="36" t="s">
        <v>258</v>
      </c>
      <c r="Q5" s="36" t="s">
        <v>258</v>
      </c>
      <c r="R5" s="36" t="s">
        <v>258</v>
      </c>
      <c r="S5" s="36" t="s">
        <v>258</v>
      </c>
      <c r="T5" s="36" t="s">
        <v>258</v>
      </c>
      <c r="U5" s="36" t="s">
        <v>682</v>
      </c>
      <c r="V5" s="36" t="s">
        <v>680</v>
      </c>
      <c r="W5" s="36" t="s">
        <v>258</v>
      </c>
      <c r="X5" s="37" t="s">
        <v>258</v>
      </c>
    </row>
    <row r="6" spans="1:24" ht="37.5" x14ac:dyDescent="0.35">
      <c r="A6" s="84" t="s">
        <v>360</v>
      </c>
      <c r="B6" s="38" t="s">
        <v>330</v>
      </c>
      <c r="C6" s="39" t="s">
        <v>297</v>
      </c>
      <c r="D6" s="33" t="s">
        <v>298</v>
      </c>
      <c r="E6" s="33" t="s">
        <v>331</v>
      </c>
      <c r="F6" s="33" t="s">
        <v>332</v>
      </c>
      <c r="G6" s="33" t="s">
        <v>392</v>
      </c>
      <c r="H6" s="33" t="s">
        <v>393</v>
      </c>
      <c r="I6" s="33" t="s">
        <v>394</v>
      </c>
      <c r="J6" s="33" t="s">
        <v>468</v>
      </c>
      <c r="K6" s="33" t="s">
        <v>439</v>
      </c>
      <c r="L6" s="33" t="s">
        <v>440</v>
      </c>
      <c r="M6" s="33" t="s">
        <v>395</v>
      </c>
      <c r="N6" s="33" t="s">
        <v>258</v>
      </c>
      <c r="O6" s="33" t="s">
        <v>396</v>
      </c>
      <c r="P6" s="33" t="s">
        <v>410</v>
      </c>
      <c r="Q6" s="33" t="s">
        <v>397</v>
      </c>
      <c r="R6" s="33" t="s">
        <v>441</v>
      </c>
      <c r="S6" s="33" t="s">
        <v>258</v>
      </c>
      <c r="T6" s="33" t="s">
        <v>333</v>
      </c>
      <c r="U6" s="33" t="s">
        <v>683</v>
      </c>
      <c r="V6" s="33" t="s">
        <v>258</v>
      </c>
      <c r="W6" s="33" t="s">
        <v>334</v>
      </c>
      <c r="X6" s="34" t="s">
        <v>258</v>
      </c>
    </row>
    <row r="7" spans="1:24" ht="37.5" x14ac:dyDescent="0.35">
      <c r="A7" s="85"/>
      <c r="B7" s="40" t="s">
        <v>335</v>
      </c>
      <c r="C7" s="41" t="s">
        <v>258</v>
      </c>
      <c r="D7" s="32" t="s">
        <v>258</v>
      </c>
      <c r="E7" s="32" t="s">
        <v>258</v>
      </c>
      <c r="F7" s="32" t="s">
        <v>350</v>
      </c>
      <c r="G7" s="32" t="s">
        <v>411</v>
      </c>
      <c r="H7" s="32" t="s">
        <v>258</v>
      </c>
      <c r="I7" s="32" t="s">
        <v>258</v>
      </c>
      <c r="J7" s="32" t="s">
        <v>258</v>
      </c>
      <c r="K7" s="32" t="s">
        <v>412</v>
      </c>
      <c r="L7" s="32" t="s">
        <v>442</v>
      </c>
      <c r="M7" s="32" t="s">
        <v>413</v>
      </c>
      <c r="N7" s="32" t="s">
        <v>258</v>
      </c>
      <c r="O7" s="32" t="s">
        <v>414</v>
      </c>
      <c r="P7" s="32" t="s">
        <v>258</v>
      </c>
      <c r="Q7" s="32" t="s">
        <v>258</v>
      </c>
      <c r="R7" s="32" t="s">
        <v>258</v>
      </c>
      <c r="S7" s="32" t="s">
        <v>258</v>
      </c>
      <c r="T7" s="32" t="s">
        <v>258</v>
      </c>
      <c r="U7" s="32" t="s">
        <v>258</v>
      </c>
      <c r="V7" s="32" t="s">
        <v>258</v>
      </c>
      <c r="W7" s="32" t="s">
        <v>258</v>
      </c>
      <c r="X7" s="35" t="s">
        <v>258</v>
      </c>
    </row>
    <row r="8" spans="1:24" ht="37.5" x14ac:dyDescent="0.35">
      <c r="A8" s="85"/>
      <c r="B8" s="40" t="s">
        <v>336</v>
      </c>
      <c r="C8" s="41" t="s">
        <v>351</v>
      </c>
      <c r="D8" s="32" t="s">
        <v>337</v>
      </c>
      <c r="E8" s="32" t="s">
        <v>352</v>
      </c>
      <c r="F8" s="32" t="s">
        <v>338</v>
      </c>
      <c r="G8" s="32" t="s">
        <v>398</v>
      </c>
      <c r="H8" s="32" t="s">
        <v>443</v>
      </c>
      <c r="I8" s="32" t="s">
        <v>415</v>
      </c>
      <c r="J8" s="32" t="s">
        <v>471</v>
      </c>
      <c r="K8" s="32" t="s">
        <v>258</v>
      </c>
      <c r="L8" s="32" t="s">
        <v>258</v>
      </c>
      <c r="M8" s="32" t="s">
        <v>416</v>
      </c>
      <c r="N8" s="32" t="s">
        <v>258</v>
      </c>
      <c r="O8" s="32" t="s">
        <v>258</v>
      </c>
      <c r="P8" s="32" t="s">
        <v>417</v>
      </c>
      <c r="Q8" s="32" t="s">
        <v>444</v>
      </c>
      <c r="R8" s="32" t="s">
        <v>418</v>
      </c>
      <c r="S8" s="32" t="s">
        <v>419</v>
      </c>
      <c r="T8" s="32" t="s">
        <v>305</v>
      </c>
      <c r="U8" s="32" t="s">
        <v>681</v>
      </c>
      <c r="V8" s="32" t="s">
        <v>677</v>
      </c>
      <c r="W8" s="32" t="s">
        <v>258</v>
      </c>
      <c r="X8" s="35" t="s">
        <v>309</v>
      </c>
    </row>
    <row r="9" spans="1:24" ht="37.5" x14ac:dyDescent="0.35">
      <c r="A9" s="85"/>
      <c r="B9" s="40" t="s">
        <v>259</v>
      </c>
      <c r="C9" s="41" t="s">
        <v>299</v>
      </c>
      <c r="D9" s="32" t="s">
        <v>300</v>
      </c>
      <c r="E9" s="32" t="s">
        <v>301</v>
      </c>
      <c r="F9" s="32" t="s">
        <v>302</v>
      </c>
      <c r="G9" s="32" t="s">
        <v>258</v>
      </c>
      <c r="H9" s="32" t="s">
        <v>399</v>
      </c>
      <c r="I9" s="32" t="s">
        <v>400</v>
      </c>
      <c r="J9" s="32" t="s">
        <v>469</v>
      </c>
      <c r="K9" s="32" t="s">
        <v>445</v>
      </c>
      <c r="L9" s="32" t="s">
        <v>420</v>
      </c>
      <c r="M9" s="32" t="s">
        <v>446</v>
      </c>
      <c r="N9" s="32" t="s">
        <v>258</v>
      </c>
      <c r="O9" s="32" t="s">
        <v>447</v>
      </c>
      <c r="P9" s="32" t="s">
        <v>421</v>
      </c>
      <c r="Q9" s="32" t="s">
        <v>448</v>
      </c>
      <c r="R9" s="32" t="s">
        <v>258</v>
      </c>
      <c r="S9" s="32" t="s">
        <v>401</v>
      </c>
      <c r="T9" s="32" t="s">
        <v>339</v>
      </c>
      <c r="U9" s="32" t="s">
        <v>258</v>
      </c>
      <c r="V9" s="32" t="s">
        <v>258</v>
      </c>
      <c r="W9" s="32" t="s">
        <v>303</v>
      </c>
      <c r="X9" s="35" t="s">
        <v>258</v>
      </c>
    </row>
    <row r="10" spans="1:24" ht="50" x14ac:dyDescent="0.35">
      <c r="A10" s="85"/>
      <c r="B10" s="40" t="s">
        <v>340</v>
      </c>
      <c r="C10" s="41" t="s">
        <v>258</v>
      </c>
      <c r="D10" s="32" t="s">
        <v>304</v>
      </c>
      <c r="E10" s="32" t="s">
        <v>353</v>
      </c>
      <c r="F10" s="32" t="s">
        <v>258</v>
      </c>
      <c r="G10" s="32" t="s">
        <v>258</v>
      </c>
      <c r="H10" s="32" t="s">
        <v>258</v>
      </c>
      <c r="I10" s="32" t="s">
        <v>258</v>
      </c>
      <c r="J10" s="32" t="s">
        <v>258</v>
      </c>
      <c r="K10" s="32" t="s">
        <v>258</v>
      </c>
      <c r="L10" s="32" t="s">
        <v>258</v>
      </c>
      <c r="M10" s="32" t="s">
        <v>449</v>
      </c>
      <c r="N10" s="32" t="s">
        <v>354</v>
      </c>
      <c r="O10" s="32" t="s">
        <v>422</v>
      </c>
      <c r="P10" s="32" t="s">
        <v>402</v>
      </c>
      <c r="Q10" s="32" t="s">
        <v>450</v>
      </c>
      <c r="R10" s="32" t="s">
        <v>258</v>
      </c>
      <c r="S10" s="32" t="s">
        <v>423</v>
      </c>
      <c r="T10" s="32" t="s">
        <v>341</v>
      </c>
      <c r="U10" s="32" t="s">
        <v>258</v>
      </c>
      <c r="V10" s="32" t="s">
        <v>258</v>
      </c>
      <c r="W10" s="32" t="s">
        <v>258</v>
      </c>
      <c r="X10" s="35" t="s">
        <v>258</v>
      </c>
    </row>
    <row r="11" spans="1:24" ht="75" x14ac:dyDescent="0.35">
      <c r="A11" s="85"/>
      <c r="B11" s="40" t="s">
        <v>342</v>
      </c>
      <c r="C11" s="41" t="s">
        <v>355</v>
      </c>
      <c r="D11" s="32" t="s">
        <v>258</v>
      </c>
      <c r="E11" s="32" t="s">
        <v>356</v>
      </c>
      <c r="F11" s="32" t="s">
        <v>343</v>
      </c>
      <c r="G11" s="32" t="s">
        <v>258</v>
      </c>
      <c r="H11" s="32" t="s">
        <v>258</v>
      </c>
      <c r="I11" s="32" t="s">
        <v>258</v>
      </c>
      <c r="J11" s="32" t="s">
        <v>472</v>
      </c>
      <c r="K11" s="32" t="s">
        <v>258</v>
      </c>
      <c r="L11" s="32" t="s">
        <v>258</v>
      </c>
      <c r="M11" s="32" t="s">
        <v>424</v>
      </c>
      <c r="N11" s="32" t="s">
        <v>258</v>
      </c>
      <c r="O11" s="32" t="s">
        <v>425</v>
      </c>
      <c r="P11" s="32" t="s">
        <v>258</v>
      </c>
      <c r="Q11" s="32" t="s">
        <v>451</v>
      </c>
      <c r="R11" s="32" t="s">
        <v>258</v>
      </c>
      <c r="S11" s="32" t="s">
        <v>403</v>
      </c>
      <c r="T11" s="32" t="s">
        <v>258</v>
      </c>
      <c r="U11" s="32" t="s">
        <v>258</v>
      </c>
      <c r="V11" s="32" t="s">
        <v>678</v>
      </c>
      <c r="W11" s="32" t="s">
        <v>344</v>
      </c>
      <c r="X11" s="35" t="s">
        <v>258</v>
      </c>
    </row>
    <row r="12" spans="1:24" ht="25.5" thickBot="1" x14ac:dyDescent="0.4">
      <c r="A12" s="86"/>
      <c r="B12" s="42" t="s">
        <v>260</v>
      </c>
      <c r="C12" s="43" t="s">
        <v>357</v>
      </c>
      <c r="D12" s="36" t="s">
        <v>310</v>
      </c>
      <c r="E12" s="36" t="s">
        <v>258</v>
      </c>
      <c r="F12" s="36" t="s">
        <v>358</v>
      </c>
      <c r="G12" s="36" t="s">
        <v>404</v>
      </c>
      <c r="H12" s="36" t="s">
        <v>426</v>
      </c>
      <c r="I12" s="36" t="s">
        <v>258</v>
      </c>
      <c r="J12" s="36" t="s">
        <v>258</v>
      </c>
      <c r="K12" s="36" t="s">
        <v>405</v>
      </c>
      <c r="L12" s="36" t="s">
        <v>427</v>
      </c>
      <c r="M12" s="36" t="s">
        <v>452</v>
      </c>
      <c r="N12" s="36" t="s">
        <v>258</v>
      </c>
      <c r="O12" s="36" t="s">
        <v>258</v>
      </c>
      <c r="P12" s="36" t="s">
        <v>428</v>
      </c>
      <c r="Q12" s="36" t="s">
        <v>406</v>
      </c>
      <c r="R12" s="36" t="s">
        <v>429</v>
      </c>
      <c r="S12" s="36" t="s">
        <v>430</v>
      </c>
      <c r="T12" s="36" t="s">
        <v>359</v>
      </c>
      <c r="U12" s="36" t="s">
        <v>258</v>
      </c>
      <c r="V12" s="36" t="s">
        <v>258</v>
      </c>
      <c r="W12" s="36" t="s">
        <v>345</v>
      </c>
      <c r="X12" s="37" t="s">
        <v>346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C1" activePane="topRight" state="frozen"/>
      <selection pane="topRight" activeCell="A2" sqref="A2:A5"/>
    </sheetView>
  </sheetViews>
  <sheetFormatPr baseColWidth="10" defaultRowHeight="14.5" x14ac:dyDescent="0.35"/>
  <cols>
    <col min="1" max="1" width="39.36328125" bestFit="1" customWidth="1"/>
    <col min="2" max="2" width="32.7265625" bestFit="1" customWidth="1"/>
    <col min="3" max="3" width="34" bestFit="1" customWidth="1"/>
    <col min="4" max="4" width="30.90625" customWidth="1"/>
    <col min="5" max="5" width="39" bestFit="1" customWidth="1"/>
    <col min="6" max="6" width="41.6328125" bestFit="1" customWidth="1"/>
    <col min="7" max="7" width="28.90625" bestFit="1" customWidth="1"/>
    <col min="8" max="8" width="35.90625" bestFit="1" customWidth="1"/>
    <col min="9" max="9" width="32.7265625" bestFit="1" customWidth="1"/>
    <col min="10" max="10" width="30.1796875" bestFit="1" customWidth="1"/>
    <col min="11" max="11" width="34.089843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90625" bestFit="1" customWidth="1"/>
    <col min="18" max="18" width="21" customWidth="1"/>
    <col min="19" max="19" width="23.54296875" bestFit="1" customWidth="1"/>
    <col min="20" max="20" width="24.9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46" t="s">
        <v>238</v>
      </c>
      <c r="B1" s="47" t="s">
        <v>250</v>
      </c>
      <c r="C1" s="49" t="s">
        <v>313</v>
      </c>
      <c r="D1" s="50" t="s">
        <v>285</v>
      </c>
      <c r="E1" s="50" t="s">
        <v>286</v>
      </c>
      <c r="F1" s="50" t="s">
        <v>287</v>
      </c>
      <c r="G1" s="49" t="s">
        <v>361</v>
      </c>
      <c r="H1" s="50" t="s">
        <v>362</v>
      </c>
      <c r="I1" s="50" t="s">
        <v>363</v>
      </c>
      <c r="J1" s="49" t="s">
        <v>466</v>
      </c>
      <c r="K1" s="50" t="s">
        <v>364</v>
      </c>
      <c r="L1" s="50" t="s">
        <v>365</v>
      </c>
      <c r="M1" s="50" t="s">
        <v>1008</v>
      </c>
      <c r="N1" s="50" t="s">
        <v>1009</v>
      </c>
      <c r="O1" s="51" t="s">
        <v>1010</v>
      </c>
      <c r="P1" s="52" t="s">
        <v>1011</v>
      </c>
      <c r="Q1" s="45" t="s">
        <v>1012</v>
      </c>
      <c r="R1" s="49" t="s">
        <v>1013</v>
      </c>
      <c r="S1" s="50" t="s">
        <v>1014</v>
      </c>
      <c r="T1" s="50" t="s">
        <v>1015</v>
      </c>
      <c r="U1" s="50" t="s">
        <v>1016</v>
      </c>
      <c r="V1" s="50" t="s">
        <v>1017</v>
      </c>
      <c r="W1" s="51" t="s">
        <v>1018</v>
      </c>
    </row>
    <row r="2" spans="1:23" ht="25" x14ac:dyDescent="0.35">
      <c r="A2" s="142" t="s">
        <v>255</v>
      </c>
      <c r="B2" s="38" t="s">
        <v>256</v>
      </c>
      <c r="C2" s="39" t="s">
        <v>292</v>
      </c>
      <c r="D2" s="33" t="s">
        <v>292</v>
      </c>
      <c r="E2" s="33" t="s">
        <v>293</v>
      </c>
      <c r="F2" s="33" t="s">
        <v>325</v>
      </c>
      <c r="G2" s="33"/>
      <c r="H2" s="33" t="s">
        <v>377</v>
      </c>
      <c r="I2" s="33" t="s">
        <v>378</v>
      </c>
      <c r="J2" s="33" t="s">
        <v>467</v>
      </c>
      <c r="K2" s="33" t="s">
        <v>292</v>
      </c>
      <c r="L2" s="33" t="s">
        <v>379</v>
      </c>
      <c r="M2" s="33" t="s">
        <v>258</v>
      </c>
      <c r="N2" s="33" t="s">
        <v>258</v>
      </c>
      <c r="O2" s="33" t="s">
        <v>258</v>
      </c>
      <c r="P2" s="33"/>
      <c r="Q2" s="33" t="s">
        <v>407</v>
      </c>
      <c r="R2" s="33"/>
      <c r="S2" s="33"/>
      <c r="T2" s="33"/>
      <c r="U2" s="33"/>
      <c r="V2" s="33" t="s">
        <v>723</v>
      </c>
      <c r="W2" s="34"/>
    </row>
    <row r="3" spans="1:23" ht="37.5" x14ac:dyDescent="0.35">
      <c r="A3" s="143"/>
      <c r="B3" s="40" t="s">
        <v>326</v>
      </c>
      <c r="C3" s="41" t="s">
        <v>736</v>
      </c>
      <c r="D3" s="32" t="s">
        <v>737</v>
      </c>
      <c r="E3" s="32" t="s">
        <v>294</v>
      </c>
      <c r="F3" s="32" t="s">
        <v>348</v>
      </c>
      <c r="G3" s="32" t="s">
        <v>381</v>
      </c>
      <c r="H3" s="32" t="s">
        <v>431</v>
      </c>
      <c r="I3" s="32" t="s">
        <v>432</v>
      </c>
      <c r="J3" s="32"/>
      <c r="K3" s="32" t="s">
        <v>433</v>
      </c>
      <c r="L3" s="32" t="s">
        <v>382</v>
      </c>
      <c r="M3" s="32" t="s">
        <v>258</v>
      </c>
      <c r="N3" s="32" t="s">
        <v>434</v>
      </c>
      <c r="O3" s="32" t="s">
        <v>258</v>
      </c>
      <c r="P3" s="32"/>
      <c r="Q3" s="32" t="s">
        <v>407</v>
      </c>
      <c r="R3" s="32" t="s">
        <v>435</v>
      </c>
      <c r="S3" s="32"/>
      <c r="T3" s="32" t="s">
        <v>674</v>
      </c>
      <c r="U3" s="32" t="s">
        <v>679</v>
      </c>
      <c r="V3" s="32" t="s">
        <v>295</v>
      </c>
      <c r="W3" s="35" t="s">
        <v>724</v>
      </c>
    </row>
    <row r="4" spans="1:23" ht="62.5" x14ac:dyDescent="0.35">
      <c r="A4" s="143"/>
      <c r="B4" s="40" t="s">
        <v>257</v>
      </c>
      <c r="C4" s="41" t="s">
        <v>306</v>
      </c>
      <c r="D4" s="32" t="s">
        <v>307</v>
      </c>
      <c r="E4" s="32"/>
      <c r="F4" s="32" t="s">
        <v>308</v>
      </c>
      <c r="G4" s="32" t="s">
        <v>383</v>
      </c>
      <c r="H4" s="32" t="s">
        <v>436</v>
      </c>
      <c r="I4" s="32" t="s">
        <v>384</v>
      </c>
      <c r="J4" s="32" t="s">
        <v>470</v>
      </c>
      <c r="K4" s="32" t="s">
        <v>437</v>
      </c>
      <c r="L4" s="32" t="s">
        <v>385</v>
      </c>
      <c r="M4" s="32" t="s">
        <v>296</v>
      </c>
      <c r="N4" s="32" t="s">
        <v>258</v>
      </c>
      <c r="O4" s="32" t="s">
        <v>386</v>
      </c>
      <c r="P4" s="32" t="s">
        <v>387</v>
      </c>
      <c r="Q4" s="32" t="s">
        <v>409</v>
      </c>
      <c r="R4" s="32" t="s">
        <v>388</v>
      </c>
      <c r="S4" s="32"/>
      <c r="T4" s="32" t="s">
        <v>675</v>
      </c>
      <c r="U4" s="32" t="s">
        <v>676</v>
      </c>
      <c r="V4" s="32"/>
      <c r="W4" s="35" t="s">
        <v>328</v>
      </c>
    </row>
    <row r="5" spans="1:23" ht="25.5" thickBot="1" x14ac:dyDescent="0.4">
      <c r="A5" s="143"/>
      <c r="B5" s="42" t="s">
        <v>329</v>
      </c>
      <c r="C5" s="43"/>
      <c r="D5" s="36"/>
      <c r="E5" s="36"/>
      <c r="F5" s="36" t="s">
        <v>349</v>
      </c>
      <c r="G5" s="36" t="s">
        <v>389</v>
      </c>
      <c r="H5" s="36" t="s">
        <v>390</v>
      </c>
      <c r="I5" s="36"/>
      <c r="J5" s="36"/>
      <c r="K5" s="36" t="s">
        <v>391</v>
      </c>
      <c r="L5" s="36" t="s">
        <v>438</v>
      </c>
      <c r="M5" s="36"/>
      <c r="N5" s="36" t="s">
        <v>258</v>
      </c>
      <c r="O5" s="36" t="s">
        <v>258</v>
      </c>
      <c r="P5" s="36"/>
      <c r="Q5" s="36"/>
      <c r="R5" s="36"/>
      <c r="S5" s="36"/>
      <c r="T5" s="36" t="s">
        <v>682</v>
      </c>
      <c r="U5" s="36" t="s">
        <v>680</v>
      </c>
      <c r="V5" s="36"/>
      <c r="W5" s="37"/>
    </row>
    <row r="6" spans="1:23" ht="50" x14ac:dyDescent="0.35">
      <c r="A6" s="142" t="s">
        <v>701</v>
      </c>
      <c r="B6" s="38" t="s">
        <v>647</v>
      </c>
      <c r="C6" s="104" t="s">
        <v>705</v>
      </c>
      <c r="D6" s="88" t="s">
        <v>710</v>
      </c>
      <c r="E6" s="33" t="s">
        <v>706</v>
      </c>
      <c r="F6" s="33" t="s">
        <v>708</v>
      </c>
      <c r="G6" s="88" t="s">
        <v>709</v>
      </c>
      <c r="H6" s="134" t="s">
        <v>1066</v>
      </c>
      <c r="I6" s="134"/>
      <c r="J6" s="88" t="s">
        <v>1067</v>
      </c>
      <c r="K6" s="88" t="s">
        <v>733</v>
      </c>
      <c r="L6" s="33"/>
      <c r="M6" s="134" t="s">
        <v>1068</v>
      </c>
      <c r="N6" s="33" t="s">
        <v>719</v>
      </c>
      <c r="O6" s="88" t="s">
        <v>734</v>
      </c>
      <c r="P6" s="33" t="s">
        <v>718</v>
      </c>
      <c r="Q6" s="88" t="s">
        <v>725</v>
      </c>
      <c r="R6" s="88" t="s">
        <v>725</v>
      </c>
      <c r="S6" s="88" t="s">
        <v>1019</v>
      </c>
      <c r="T6" s="33" t="s">
        <v>727</v>
      </c>
      <c r="U6" s="88" t="s">
        <v>1070</v>
      </c>
      <c r="V6" s="88" t="s">
        <v>730</v>
      </c>
      <c r="W6" s="94" t="s">
        <v>731</v>
      </c>
    </row>
    <row r="7" spans="1:23" ht="50" x14ac:dyDescent="0.35">
      <c r="A7" s="143"/>
      <c r="B7" s="40" t="s">
        <v>648</v>
      </c>
      <c r="C7" s="41"/>
      <c r="D7" s="89" t="s">
        <v>712</v>
      </c>
      <c r="E7" s="32" t="s">
        <v>707</v>
      </c>
      <c r="F7" s="103"/>
      <c r="G7" s="103"/>
      <c r="H7" s="89" t="s">
        <v>715</v>
      </c>
      <c r="I7" s="32"/>
      <c r="J7" s="89" t="s">
        <v>1071</v>
      </c>
      <c r="K7" s="32"/>
      <c r="L7" s="32"/>
      <c r="M7" s="89" t="s">
        <v>1069</v>
      </c>
      <c r="N7" s="32" t="s">
        <v>720</v>
      </c>
      <c r="O7" s="32"/>
      <c r="P7" s="32" t="s">
        <v>717</v>
      </c>
      <c r="Q7" s="89" t="s">
        <v>726</v>
      </c>
      <c r="R7" s="32"/>
      <c r="S7" s="89" t="s">
        <v>728</v>
      </c>
      <c r="T7" s="32"/>
      <c r="U7" s="32"/>
      <c r="V7" s="89" t="s">
        <v>1072</v>
      </c>
      <c r="W7" s="128" t="s">
        <v>729</v>
      </c>
    </row>
    <row r="8" spans="1:23" ht="50.5" thickBot="1" x14ac:dyDescent="0.4">
      <c r="A8" s="145"/>
      <c r="B8" s="42" t="s">
        <v>340</v>
      </c>
      <c r="C8" s="43" t="s">
        <v>711</v>
      </c>
      <c r="D8" s="36"/>
      <c r="E8" s="36" t="s">
        <v>353</v>
      </c>
      <c r="F8" s="36" t="s">
        <v>713</v>
      </c>
      <c r="G8" s="36"/>
      <c r="H8" s="36"/>
      <c r="I8" s="36"/>
      <c r="J8" s="36"/>
      <c r="K8" s="36"/>
      <c r="L8" s="36" t="s">
        <v>716</v>
      </c>
      <c r="M8" s="36" t="s">
        <v>354</v>
      </c>
      <c r="N8" s="36" t="s">
        <v>422</v>
      </c>
      <c r="O8" s="36" t="s">
        <v>402</v>
      </c>
      <c r="P8" s="36" t="s">
        <v>450</v>
      </c>
      <c r="Q8" s="36"/>
      <c r="R8" s="36" t="s">
        <v>735</v>
      </c>
      <c r="S8" s="36" t="s">
        <v>1020</v>
      </c>
      <c r="T8" s="36"/>
      <c r="U8" s="36"/>
      <c r="V8" s="36"/>
      <c r="W8" s="37"/>
    </row>
    <row r="9" spans="1:23" ht="37.5" x14ac:dyDescent="0.35">
      <c r="A9" s="143" t="s">
        <v>702</v>
      </c>
      <c r="B9" s="38" t="s">
        <v>259</v>
      </c>
      <c r="C9" s="39" t="s">
        <v>1024</v>
      </c>
      <c r="D9" s="33" t="s">
        <v>738</v>
      </c>
      <c r="E9" s="33" t="s">
        <v>1027</v>
      </c>
      <c r="F9" s="33" t="s">
        <v>1028</v>
      </c>
      <c r="G9" s="33" t="s">
        <v>1029</v>
      </c>
      <c r="H9" s="33" t="s">
        <v>1030</v>
      </c>
      <c r="I9" s="33" t="s">
        <v>1041</v>
      </c>
      <c r="J9" s="33" t="s">
        <v>1031</v>
      </c>
      <c r="K9" s="33"/>
      <c r="L9" s="33" t="s">
        <v>1037</v>
      </c>
      <c r="M9" s="33" t="s">
        <v>721</v>
      </c>
      <c r="N9" s="33" t="s">
        <v>447</v>
      </c>
      <c r="O9" s="33" t="s">
        <v>421</v>
      </c>
      <c r="P9" s="33" t="s">
        <v>1048</v>
      </c>
      <c r="Q9" s="33" t="s">
        <v>732</v>
      </c>
      <c r="R9" s="33" t="s">
        <v>401</v>
      </c>
      <c r="S9" s="33" t="s">
        <v>1049</v>
      </c>
      <c r="T9" s="33"/>
      <c r="U9" s="33" t="s">
        <v>1050</v>
      </c>
      <c r="V9" s="33" t="s">
        <v>1051</v>
      </c>
      <c r="W9" s="34"/>
    </row>
    <row r="10" spans="1:23" ht="25" customHeight="1" x14ac:dyDescent="0.35">
      <c r="A10" s="143"/>
      <c r="B10" s="129" t="s">
        <v>1021</v>
      </c>
      <c r="C10" s="130" t="s">
        <v>1025</v>
      </c>
      <c r="D10" s="131"/>
      <c r="E10" s="131" t="s">
        <v>703</v>
      </c>
      <c r="F10" s="131"/>
      <c r="G10" s="131"/>
      <c r="H10" s="131"/>
      <c r="I10" s="131"/>
      <c r="J10" s="131" t="s">
        <v>1032</v>
      </c>
      <c r="K10" s="131"/>
      <c r="L10" s="131"/>
      <c r="M10" s="131" t="s">
        <v>1043</v>
      </c>
      <c r="N10" s="131" t="s">
        <v>1044</v>
      </c>
      <c r="O10" s="131"/>
      <c r="P10" s="131" t="s">
        <v>1047</v>
      </c>
      <c r="Q10" s="131"/>
      <c r="R10" s="132"/>
      <c r="S10" s="131"/>
      <c r="T10" s="131"/>
      <c r="U10" s="131"/>
      <c r="V10" s="131" t="s">
        <v>1025</v>
      </c>
      <c r="W10" s="133"/>
    </row>
    <row r="11" spans="1:23" ht="50" x14ac:dyDescent="0.35">
      <c r="A11" s="143"/>
      <c r="B11" s="40" t="s">
        <v>1022</v>
      </c>
      <c r="C11" s="41"/>
      <c r="D11" s="32"/>
      <c r="E11" s="32" t="s">
        <v>1038</v>
      </c>
      <c r="F11" s="32" t="s">
        <v>1039</v>
      </c>
      <c r="G11" s="32"/>
      <c r="H11" s="32" t="s">
        <v>704</v>
      </c>
      <c r="I11" s="32" t="s">
        <v>1042</v>
      </c>
      <c r="J11" s="32" t="s">
        <v>1033</v>
      </c>
      <c r="K11" s="32" t="s">
        <v>1035</v>
      </c>
      <c r="L11" s="32" t="s">
        <v>1036</v>
      </c>
      <c r="M11" s="32"/>
      <c r="N11" s="32"/>
      <c r="O11" s="32"/>
      <c r="P11" s="32" t="s">
        <v>1045</v>
      </c>
      <c r="Q11" s="32"/>
      <c r="R11" s="126"/>
      <c r="S11" s="32" t="s">
        <v>258</v>
      </c>
      <c r="T11" s="32"/>
      <c r="U11" s="32" t="s">
        <v>722</v>
      </c>
      <c r="V11" s="32" t="s">
        <v>1052</v>
      </c>
      <c r="W11" s="35" t="s">
        <v>1073</v>
      </c>
    </row>
    <row r="12" spans="1:23" ht="25.5" thickBot="1" x14ac:dyDescent="0.4">
      <c r="A12" s="145"/>
      <c r="B12" s="42" t="s">
        <v>1023</v>
      </c>
      <c r="C12" s="43"/>
      <c r="D12" s="36"/>
      <c r="E12" s="36" t="s">
        <v>1026</v>
      </c>
      <c r="F12" s="36" t="s">
        <v>1040</v>
      </c>
      <c r="G12" s="36"/>
      <c r="H12" s="36" t="s">
        <v>1040</v>
      </c>
      <c r="I12" s="36"/>
      <c r="J12" s="36" t="s">
        <v>1034</v>
      </c>
      <c r="K12" s="36"/>
      <c r="L12" s="36"/>
      <c r="M12" s="36"/>
      <c r="N12" s="36" t="s">
        <v>1023</v>
      </c>
      <c r="O12" s="36"/>
      <c r="P12" s="36" t="s">
        <v>1046</v>
      </c>
      <c r="Q12" s="36"/>
      <c r="R12" s="36"/>
      <c r="S12" s="36"/>
      <c r="T12" s="36"/>
      <c r="U12" s="36"/>
      <c r="V12" s="36" t="s">
        <v>1053</v>
      </c>
      <c r="W12" s="37"/>
    </row>
    <row r="14" spans="1:23" x14ac:dyDescent="0.35">
      <c r="L14" s="87"/>
    </row>
    <row r="15" spans="1:23" x14ac:dyDescent="0.35">
      <c r="A15" s="76" t="s">
        <v>714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7265625" bestFit="1" customWidth="1"/>
    <col min="2" max="2" width="80.90625" customWidth="1"/>
    <col min="3" max="3" width="28.453125" bestFit="1" customWidth="1"/>
  </cols>
  <sheetData>
    <row r="1" spans="1:3" x14ac:dyDescent="0.35">
      <c r="A1" s="14" t="s">
        <v>238</v>
      </c>
      <c r="B1" s="14" t="s">
        <v>239</v>
      </c>
      <c r="C1" s="14" t="s">
        <v>240</v>
      </c>
    </row>
    <row r="2" spans="1:3" ht="29" x14ac:dyDescent="0.35">
      <c r="A2" s="8" t="s">
        <v>241</v>
      </c>
      <c r="B2" s="8" t="s">
        <v>247</v>
      </c>
      <c r="C2" s="8" t="s">
        <v>242</v>
      </c>
    </row>
    <row r="3" spans="1:3" ht="27.5" customHeight="1" x14ac:dyDescent="0.35">
      <c r="A3" s="8" t="s">
        <v>243</v>
      </c>
      <c r="B3" s="8" t="s">
        <v>244</v>
      </c>
      <c r="C3" s="8"/>
    </row>
    <row r="4" spans="1:3" ht="29" x14ac:dyDescent="0.35">
      <c r="A4" s="8" t="s">
        <v>245</v>
      </c>
      <c r="B4" s="8" t="s">
        <v>248</v>
      </c>
      <c r="C4" s="8"/>
    </row>
    <row r="5" spans="1:3" ht="29" x14ac:dyDescent="0.35">
      <c r="A5" s="8" t="s">
        <v>246</v>
      </c>
      <c r="B5" s="8" t="s">
        <v>249</v>
      </c>
      <c r="C5" s="8"/>
    </row>
  </sheetData>
  <phoneticPr fontId="1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18"/>
  <sheetViews>
    <sheetView zoomScale="84" workbookViewId="0">
      <selection activeCell="F13" sqref="F13"/>
    </sheetView>
  </sheetViews>
  <sheetFormatPr baseColWidth="10" defaultRowHeight="14.5" x14ac:dyDescent="0.35"/>
  <cols>
    <col min="1" max="1" width="11.7265625" bestFit="1" customWidth="1"/>
    <col min="2" max="2" width="26.1796875" bestFit="1" customWidth="1"/>
    <col min="3" max="3" width="50" style="59" bestFit="1" customWidth="1"/>
    <col min="4" max="4" width="138.54296875" bestFit="1" customWidth="1"/>
  </cols>
  <sheetData>
    <row r="1" spans="1:4" ht="15" thickBot="1" x14ac:dyDescent="0.4">
      <c r="A1" s="62" t="s">
        <v>497</v>
      </c>
      <c r="B1" s="63" t="s">
        <v>498</v>
      </c>
      <c r="C1" s="64" t="s">
        <v>499</v>
      </c>
      <c r="D1" s="65" t="s">
        <v>500</v>
      </c>
    </row>
    <row r="2" spans="1:4" x14ac:dyDescent="0.35">
      <c r="A2" s="146" t="s">
        <v>501</v>
      </c>
      <c r="B2" s="149" t="s">
        <v>502</v>
      </c>
      <c r="C2" s="152"/>
      <c r="D2" s="156" t="s">
        <v>530</v>
      </c>
    </row>
    <row r="3" spans="1:4" x14ac:dyDescent="0.35">
      <c r="A3" s="147"/>
      <c r="B3" s="150"/>
      <c r="C3" s="153"/>
      <c r="D3" s="155"/>
    </row>
    <row r="4" spans="1:4" ht="15" thickBot="1" x14ac:dyDescent="0.4">
      <c r="A4" s="148"/>
      <c r="B4" s="151"/>
      <c r="C4" s="154"/>
      <c r="D4" s="157"/>
    </row>
    <row r="5" spans="1:4" x14ac:dyDescent="0.35">
      <c r="A5" s="146" t="s">
        <v>2</v>
      </c>
      <c r="B5" s="66" t="s">
        <v>503</v>
      </c>
      <c r="C5" s="67" t="s">
        <v>531</v>
      </c>
      <c r="D5" s="68" t="s">
        <v>504</v>
      </c>
    </row>
    <row r="6" spans="1:4" x14ac:dyDescent="0.35">
      <c r="A6" s="147"/>
      <c r="B6" s="61" t="s">
        <v>505</v>
      </c>
      <c r="C6" s="60" t="s">
        <v>532</v>
      </c>
      <c r="D6" s="69" t="s">
        <v>506</v>
      </c>
    </row>
    <row r="7" spans="1:4" x14ac:dyDescent="0.35">
      <c r="A7" s="147"/>
      <c r="B7" s="61" t="s">
        <v>507</v>
      </c>
      <c r="C7" s="60" t="s">
        <v>533</v>
      </c>
      <c r="D7" s="69" t="s">
        <v>508</v>
      </c>
    </row>
    <row r="8" spans="1:4" ht="15" thickBot="1" x14ac:dyDescent="0.4">
      <c r="A8" s="148"/>
      <c r="B8" s="70"/>
      <c r="C8" s="71"/>
      <c r="D8" s="72"/>
    </row>
    <row r="9" spans="1:4" ht="25" x14ac:dyDescent="0.35">
      <c r="A9" s="146" t="s">
        <v>3</v>
      </c>
      <c r="B9" s="66" t="s">
        <v>509</v>
      </c>
      <c r="C9" s="67" t="s">
        <v>510</v>
      </c>
      <c r="D9" s="68" t="s">
        <v>511</v>
      </c>
    </row>
    <row r="10" spans="1:4" ht="15" thickBot="1" x14ac:dyDescent="0.4">
      <c r="A10" s="148"/>
      <c r="B10" s="95" t="s">
        <v>512</v>
      </c>
      <c r="C10" s="96" t="s">
        <v>513</v>
      </c>
      <c r="D10" s="97" t="s">
        <v>514</v>
      </c>
    </row>
    <row r="11" spans="1:4" ht="31" customHeight="1" x14ac:dyDescent="0.35">
      <c r="A11" s="158" t="s">
        <v>4</v>
      </c>
      <c r="B11" s="101" t="s">
        <v>515</v>
      </c>
      <c r="C11" s="90" t="s">
        <v>534</v>
      </c>
      <c r="D11" s="92" t="s">
        <v>516</v>
      </c>
    </row>
    <row r="12" spans="1:4" ht="31" customHeight="1" thickBot="1" x14ac:dyDescent="0.4">
      <c r="A12" s="159"/>
      <c r="B12" s="102"/>
      <c r="C12" s="91"/>
      <c r="D12" s="93"/>
    </row>
    <row r="13" spans="1:4" ht="25" x14ac:dyDescent="0.35">
      <c r="A13" s="146" t="s">
        <v>5</v>
      </c>
      <c r="B13" s="98" t="s">
        <v>517</v>
      </c>
      <c r="C13" s="99" t="s">
        <v>518</v>
      </c>
      <c r="D13" s="100" t="s">
        <v>519</v>
      </c>
    </row>
    <row r="14" spans="1:4" x14ac:dyDescent="0.35">
      <c r="A14" s="147"/>
      <c r="B14" s="61" t="s">
        <v>520</v>
      </c>
      <c r="C14" s="60" t="s">
        <v>521</v>
      </c>
      <c r="D14" s="69" t="s">
        <v>522</v>
      </c>
    </row>
    <row r="15" spans="1:4" x14ac:dyDescent="0.35">
      <c r="A15" s="147"/>
      <c r="B15" s="61" t="s">
        <v>480</v>
      </c>
      <c r="C15" s="60" t="s">
        <v>523</v>
      </c>
      <c r="D15" s="69" t="s">
        <v>524</v>
      </c>
    </row>
    <row r="16" spans="1:4" ht="25" x14ac:dyDescent="0.35">
      <c r="A16" s="147"/>
      <c r="B16" s="150"/>
      <c r="C16" s="60" t="s">
        <v>525</v>
      </c>
      <c r="D16" s="155" t="s">
        <v>527</v>
      </c>
    </row>
    <row r="17" spans="1:4" x14ac:dyDescent="0.35">
      <c r="A17" s="147"/>
      <c r="B17" s="150"/>
      <c r="C17" s="60" t="s">
        <v>526</v>
      </c>
      <c r="D17" s="155"/>
    </row>
    <row r="18" spans="1:4" ht="15" thickBot="1" x14ac:dyDescent="0.4">
      <c r="A18" s="148"/>
      <c r="B18" s="70"/>
      <c r="C18" s="71" t="s">
        <v>528</v>
      </c>
      <c r="D18" s="72" t="s">
        <v>529</v>
      </c>
    </row>
  </sheetData>
  <mergeCells count="10"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54296875" customWidth="1"/>
    <col min="2" max="2" width="44" customWidth="1"/>
    <col min="4" max="4" width="23.6328125" customWidth="1"/>
    <col min="6" max="6" width="32.36328125" customWidth="1"/>
    <col min="8" max="8" width="21.26953125" customWidth="1"/>
    <col min="9" max="9" width="15.08984375" customWidth="1"/>
    <col min="10" max="10" width="24" customWidth="1"/>
    <col min="12" max="12" width="17.36328125" customWidth="1"/>
    <col min="13" max="13" width="26.6328125" customWidth="1"/>
    <col min="17" max="17" width="15.26953125" customWidth="1"/>
    <col min="18" max="18" width="19" customWidth="1"/>
  </cols>
  <sheetData>
    <row r="1" spans="1:18" ht="29" x14ac:dyDescent="0.35">
      <c r="A1" s="73" t="s">
        <v>644</v>
      </c>
      <c r="B1" s="73" t="s">
        <v>593</v>
      </c>
      <c r="D1" s="73" t="s">
        <v>616</v>
      </c>
      <c r="E1" s="73" t="s">
        <v>617</v>
      </c>
      <c r="F1" s="73" t="s">
        <v>618</v>
      </c>
      <c r="G1" s="15"/>
      <c r="H1" s="73" t="s">
        <v>535</v>
      </c>
      <c r="I1" s="73" t="s">
        <v>617</v>
      </c>
      <c r="J1" s="73" t="s">
        <v>618</v>
      </c>
      <c r="K1" s="15"/>
      <c r="L1" s="58" t="s">
        <v>645</v>
      </c>
      <c r="M1" s="58" t="s">
        <v>646</v>
      </c>
      <c r="N1" s="58" t="s">
        <v>608</v>
      </c>
      <c r="O1" s="58" t="s">
        <v>604</v>
      </c>
      <c r="P1" s="58" t="s">
        <v>610</v>
      </c>
      <c r="Q1" s="58" t="s">
        <v>612</v>
      </c>
      <c r="R1" s="58" t="s">
        <v>633</v>
      </c>
    </row>
    <row r="2" spans="1:18" ht="29" x14ac:dyDescent="0.35">
      <c r="A2" s="74" t="s">
        <v>594</v>
      </c>
      <c r="B2" s="74" t="s">
        <v>615</v>
      </c>
      <c r="D2" s="74" t="s">
        <v>619</v>
      </c>
      <c r="E2" s="74" t="s">
        <v>684</v>
      </c>
      <c r="F2" s="74" t="s">
        <v>685</v>
      </c>
      <c r="H2" s="74" t="s">
        <v>606</v>
      </c>
      <c r="I2" s="74" t="s">
        <v>639</v>
      </c>
      <c r="J2" s="74" t="s">
        <v>690</v>
      </c>
      <c r="L2" s="78" t="s">
        <v>647</v>
      </c>
      <c r="M2" s="79">
        <v>13</v>
      </c>
      <c r="N2" s="79">
        <v>9</v>
      </c>
      <c r="O2" s="79">
        <v>8</v>
      </c>
      <c r="P2" s="79">
        <v>6</v>
      </c>
      <c r="Q2" s="79">
        <v>7</v>
      </c>
      <c r="R2" s="79">
        <v>5</v>
      </c>
    </row>
    <row r="3" spans="1:18" ht="43.5" x14ac:dyDescent="0.35">
      <c r="A3" s="74" t="s">
        <v>595</v>
      </c>
      <c r="B3" s="74" t="s">
        <v>596</v>
      </c>
      <c r="D3" s="74" t="s">
        <v>621</v>
      </c>
      <c r="E3" s="74" t="s">
        <v>620</v>
      </c>
      <c r="F3" s="74" t="s">
        <v>693</v>
      </c>
      <c r="H3" s="74" t="s">
        <v>610</v>
      </c>
      <c r="I3" s="74" t="s">
        <v>622</v>
      </c>
      <c r="J3" s="74" t="s">
        <v>691</v>
      </c>
      <c r="L3" s="78" t="s">
        <v>648</v>
      </c>
      <c r="M3" s="79">
        <v>10</v>
      </c>
      <c r="N3" s="79">
        <v>6</v>
      </c>
      <c r="O3" s="79">
        <v>5</v>
      </c>
      <c r="P3" s="79">
        <v>3</v>
      </c>
      <c r="Q3" s="79">
        <v>2</v>
      </c>
      <c r="R3" s="79">
        <v>3</v>
      </c>
    </row>
    <row r="4" spans="1:18" ht="29" x14ac:dyDescent="0.35">
      <c r="A4" s="74" t="s">
        <v>597</v>
      </c>
      <c r="B4" s="74" t="s">
        <v>598</v>
      </c>
      <c r="D4" s="74" t="s">
        <v>598</v>
      </c>
      <c r="E4" s="74" t="s">
        <v>622</v>
      </c>
      <c r="F4" s="74" t="s">
        <v>623</v>
      </c>
      <c r="H4" s="74" t="s">
        <v>640</v>
      </c>
      <c r="I4" s="74" t="s">
        <v>622</v>
      </c>
      <c r="J4" s="74" t="s">
        <v>641</v>
      </c>
      <c r="L4" s="78" t="s">
        <v>598</v>
      </c>
      <c r="M4" s="79">
        <v>6</v>
      </c>
      <c r="N4" s="79">
        <v>5</v>
      </c>
      <c r="O4" s="79">
        <v>4</v>
      </c>
      <c r="P4" s="79">
        <v>2</v>
      </c>
      <c r="Q4" s="79">
        <v>1</v>
      </c>
      <c r="R4" s="79">
        <v>1</v>
      </c>
    </row>
    <row r="5" spans="1:18" ht="43.5" x14ac:dyDescent="0.35">
      <c r="A5" s="74" t="s">
        <v>599</v>
      </c>
      <c r="B5" s="74" t="s">
        <v>600</v>
      </c>
      <c r="H5" s="74" t="s">
        <v>642</v>
      </c>
      <c r="I5" s="74" t="s">
        <v>628</v>
      </c>
      <c r="J5" s="74" t="s">
        <v>692</v>
      </c>
      <c r="L5" s="78" t="s">
        <v>596</v>
      </c>
      <c r="M5" s="79">
        <v>10</v>
      </c>
      <c r="N5" s="79">
        <v>7</v>
      </c>
      <c r="O5" s="79">
        <v>4</v>
      </c>
      <c r="P5" s="79">
        <v>1</v>
      </c>
      <c r="Q5" s="79">
        <v>4</v>
      </c>
      <c r="R5" s="79">
        <v>3</v>
      </c>
    </row>
    <row r="6" spans="1:18" ht="29" x14ac:dyDescent="0.35">
      <c r="A6" s="74" t="s">
        <v>601</v>
      </c>
      <c r="B6" s="74" t="s">
        <v>602</v>
      </c>
      <c r="D6" s="77" t="s">
        <v>624</v>
      </c>
      <c r="E6" s="77" t="s">
        <v>617</v>
      </c>
      <c r="F6" s="77" t="s">
        <v>618</v>
      </c>
      <c r="H6" s="74" t="s">
        <v>643</v>
      </c>
      <c r="I6" s="74" t="s">
        <v>628</v>
      </c>
      <c r="J6" s="74" t="s">
        <v>694</v>
      </c>
      <c r="L6" s="78" t="s">
        <v>649</v>
      </c>
      <c r="M6" s="79">
        <v>7</v>
      </c>
      <c r="N6" s="79">
        <v>5</v>
      </c>
      <c r="O6" s="79">
        <v>4</v>
      </c>
      <c r="P6" s="79">
        <v>3</v>
      </c>
      <c r="Q6" s="79">
        <v>3</v>
      </c>
      <c r="R6" s="79">
        <v>1</v>
      </c>
    </row>
    <row r="7" spans="1:18" ht="43.5" x14ac:dyDescent="0.35">
      <c r="A7" s="74" t="s">
        <v>603</v>
      </c>
      <c r="B7" s="74" t="s">
        <v>604</v>
      </c>
      <c r="D7" s="74" t="s">
        <v>625</v>
      </c>
      <c r="E7" s="74" t="s">
        <v>620</v>
      </c>
      <c r="F7" s="74" t="s">
        <v>626</v>
      </c>
      <c r="L7" s="80" t="s">
        <v>335</v>
      </c>
      <c r="M7" s="81">
        <v>4</v>
      </c>
      <c r="N7" s="81">
        <v>2</v>
      </c>
      <c r="O7" s="81">
        <v>1</v>
      </c>
      <c r="P7" s="81">
        <v>1</v>
      </c>
      <c r="Q7" s="81">
        <v>1</v>
      </c>
      <c r="R7" s="81">
        <v>1</v>
      </c>
    </row>
    <row r="8" spans="1:18" ht="29" x14ac:dyDescent="0.35">
      <c r="A8" s="74" t="s">
        <v>605</v>
      </c>
      <c r="B8" s="74" t="s">
        <v>606</v>
      </c>
      <c r="D8" s="74" t="s">
        <v>627</v>
      </c>
      <c r="E8" s="74" t="s">
        <v>639</v>
      </c>
      <c r="F8" s="74" t="s">
        <v>686</v>
      </c>
      <c r="H8" s="73" t="s">
        <v>634</v>
      </c>
      <c r="I8" s="73" t="s">
        <v>617</v>
      </c>
    </row>
    <row r="9" spans="1:18" ht="29" x14ac:dyDescent="0.35">
      <c r="A9" s="74" t="s">
        <v>607</v>
      </c>
      <c r="B9" s="74" t="s">
        <v>608</v>
      </c>
      <c r="D9" s="74" t="s">
        <v>335</v>
      </c>
      <c r="E9" s="74" t="s">
        <v>628</v>
      </c>
      <c r="F9" s="74" t="s">
        <v>629</v>
      </c>
      <c r="H9" s="79">
        <v>2021</v>
      </c>
      <c r="I9" s="74" t="s">
        <v>635</v>
      </c>
    </row>
    <row r="10" spans="1:18" ht="43.5" x14ac:dyDescent="0.35">
      <c r="A10" s="74" t="s">
        <v>609</v>
      </c>
      <c r="B10" s="74" t="s">
        <v>610</v>
      </c>
      <c r="H10" s="79">
        <v>2022</v>
      </c>
      <c r="I10" s="74" t="s">
        <v>636</v>
      </c>
    </row>
    <row r="11" spans="1:18" ht="29" x14ac:dyDescent="0.35">
      <c r="A11" s="74" t="s">
        <v>611</v>
      </c>
      <c r="B11" s="74" t="s">
        <v>612</v>
      </c>
      <c r="D11" s="77" t="s">
        <v>630</v>
      </c>
      <c r="E11" s="77" t="s">
        <v>617</v>
      </c>
      <c r="F11" s="77" t="s">
        <v>618</v>
      </c>
      <c r="H11" s="79">
        <v>2023</v>
      </c>
      <c r="I11" s="74" t="s">
        <v>637</v>
      </c>
    </row>
    <row r="12" spans="1:18" ht="43.5" x14ac:dyDescent="0.35">
      <c r="A12" s="57" t="s">
        <v>613</v>
      </c>
      <c r="B12" s="57" t="s">
        <v>614</v>
      </c>
      <c r="D12" s="74" t="s">
        <v>614</v>
      </c>
      <c r="E12" s="74" t="s">
        <v>687</v>
      </c>
      <c r="F12" s="74" t="s">
        <v>689</v>
      </c>
      <c r="H12" s="79">
        <v>2024</v>
      </c>
      <c r="I12" s="74" t="s">
        <v>699</v>
      </c>
    </row>
    <row r="13" spans="1:18" ht="43.5" x14ac:dyDescent="0.35">
      <c r="D13" s="74" t="s">
        <v>608</v>
      </c>
      <c r="E13" s="74" t="s">
        <v>688</v>
      </c>
      <c r="F13" s="74" t="s">
        <v>695</v>
      </c>
      <c r="H13" s="79">
        <v>2025</v>
      </c>
      <c r="I13" s="74" t="s">
        <v>700</v>
      </c>
    </row>
    <row r="14" spans="1:18" x14ac:dyDescent="0.35">
      <c r="D14" s="74" t="s">
        <v>604</v>
      </c>
      <c r="E14" s="74" t="s">
        <v>684</v>
      </c>
      <c r="F14" s="74" t="s">
        <v>696</v>
      </c>
    </row>
    <row r="15" spans="1:18" ht="29" x14ac:dyDescent="0.35">
      <c r="D15" s="57" t="s">
        <v>631</v>
      </c>
      <c r="E15" s="82" t="s">
        <v>639</v>
      </c>
      <c r="F15" s="82" t="s">
        <v>697</v>
      </c>
    </row>
    <row r="16" spans="1:18" x14ac:dyDescent="0.35">
      <c r="D16" s="74" t="s">
        <v>633</v>
      </c>
      <c r="E16" s="74" t="s">
        <v>632</v>
      </c>
      <c r="F16" s="74" t="s">
        <v>698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13</vt:i4>
      </vt:variant>
      <vt:variant>
        <vt:lpstr>Benannte Bereiche</vt:lpstr>
      </vt:variant>
      <vt:variant>
        <vt:i4>3</vt:i4>
      </vt:variant>
    </vt:vector>
  </HeadingPairs>
  <TitlesOfParts>
    <vt:vector size="16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RQ3</vt:lpstr>
      <vt:lpstr>Allgemeine Infos</vt:lpstr>
      <vt:lpstr>Quantitative Analyse</vt:lpstr>
      <vt:lpstr>Extraktion!Druckbereich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2025-12-02T06:52:43Z</dcterms:modified>
</cp:coreProperties>
</file>