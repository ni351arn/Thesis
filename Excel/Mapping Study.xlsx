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nnr3fe_bosch_com/Documents/PersonalDrive/HTWG/BA/LaTex/Thesis/Excel/"/>
    </mc:Choice>
  </mc:AlternateContent>
  <xr:revisionPtr revIDLastSave="742" documentId="8_{52277D5D-52CF-4EFB-8759-AD2ADE0E710B}" xr6:coauthVersionLast="47" xr6:coauthVersionMax="47" xr10:uidLastSave="{6914234D-42B4-4E7A-A9FC-B7A308BFE468}"/>
  <bookViews>
    <workbookView xWindow="-110" yWindow="-110" windowWidth="19420" windowHeight="10300" activeTab="1" xr2:uid="{0DD4CFEA-C2F1-46F7-88F8-AB6F3727EE8E}"/>
  </bookViews>
  <sheets>
    <sheet name="Zusammenfassung RQ1" sheetId="1" r:id="rId1"/>
    <sheet name="Ausgangstabelle RQ1" sheetId="3" r:id="rId2"/>
    <sheet name="Mappingtabelle RQ1" sheetId="4" r:id="rId3"/>
    <sheet name="Mappingtabelle RQ1 (2)" sheetId="5" r:id="rId4"/>
    <sheet name="Mapping RQ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</calcChain>
</file>

<file path=xl/sharedStrings.xml><?xml version="1.0" encoding="utf-8"?>
<sst xmlns="http://schemas.openxmlformats.org/spreadsheetml/2006/main" count="146" uniqueCount="47">
  <si>
    <t>Anzahl Papers</t>
  </si>
  <si>
    <t>Was Papers typischerweise beschreiben</t>
  </si>
  <si>
    <t>CI/CD &amp; Pipeline-Optimierung</t>
  </si>
  <si>
    <t>Ressourcen- &amp; Workload-Optimierung</t>
  </si>
  <si>
    <t>Security &amp; Threat Detection</t>
  </si>
  <si>
    <t>Self-Healing / Predictive Maintenance</t>
  </si>
  <si>
    <t>Edge AI / Serverless Deployment</t>
  </si>
  <si>
    <t xml:space="preserve">Deployment zeit reduzieren &amp; erfolgsrate erhöhen
Fehlerprognossen mittels Jenkins X
Build &amp; manuelle Fehler verhindern
</t>
  </si>
  <si>
    <t xml:space="preserve">Intelligent Autoscalling und ressource Allocation
Ressourcenverschwendung reduzieren
Rechneinfratsruktur (GPU basierte pipelines)
</t>
  </si>
  <si>
    <t xml:space="preserve">Echtzeit Threat detetction und security monitoring
Anomalierkennung
Sicherheitslücken identifzieren
Intrustion Detection System zur Angriffserkennung
</t>
  </si>
  <si>
    <t xml:space="preserve">Predicitve Modelling (PM) bietet fault tolerance und self healing
Predicitve failure detection
Prognose von Systemausfällen / Performance ENgpääsen
</t>
  </si>
  <si>
    <t xml:space="preserve">Latenzreduzierung
Bereitstellung von Inference Services
Serverless &amp;  Edge Computing
</t>
  </si>
  <si>
    <t>Anwendungsfelder</t>
  </si>
  <si>
    <t>Ressourcenverbrauch &amp; Kosten</t>
  </si>
  <si>
    <t>Skalierbarkeit, Latenz &amp; Monitoring</t>
  </si>
  <si>
    <t xml:space="preserve">AI Governance &amp; Security </t>
  </si>
  <si>
    <t xml:space="preserve">Integrationskomplexität </t>
  </si>
  <si>
    <t xml:space="preserve">Datenmanagement &amp; Qualität </t>
  </si>
  <si>
    <t>Herausforderungen</t>
  </si>
  <si>
    <t xml:space="preserve">Ressourcen Management für GPUs
AI models verursachen hohe kosten (computational costs / power)
Operationale costs
cost overheads durch modelltraining
Hohe Trainingskosten der AI modelle
</t>
  </si>
  <si>
    <t>Skalierbarkeit vs Elastizität
Skalierbarkeit für trainingsprozesse
Real-time dtetection bzw Monitoring</t>
  </si>
  <si>
    <t>Data Governance/ Data security
Security Privacy
Interpreierbarkeit und Erklärbarkeit =  Transparenz
Ethische Verantwort und Verantwortung</t>
  </si>
  <si>
    <t xml:space="preserve">Risiko von Vendock Lock-in und Interoparabilität
System kompatibilität mit existierenden ci/cd tools
Lieferantenabhängigkeit
</t>
  </si>
  <si>
    <t xml:space="preserve">Datenmanagement (Aufbereitung, Größe)
datenqualität
Datenschutz
Datenverfügbarkeit
</t>
  </si>
  <si>
    <t>Ressourcen &amp; Kosten</t>
  </si>
  <si>
    <t>Skalierbarkeit &amp; Monitoring</t>
  </si>
  <si>
    <t>Governance &amp; Security</t>
  </si>
  <si>
    <t>Integration</t>
  </si>
  <si>
    <t>Datenqualität</t>
  </si>
  <si>
    <t>Use cases / Herausforderungen</t>
  </si>
  <si>
    <t>CI/CD &amp; Pipeline Optimierung</t>
  </si>
  <si>
    <t>Security &amp; Threat Detetction</t>
  </si>
  <si>
    <t>Self-healing &amp; Predicitve main</t>
  </si>
  <si>
    <t>Edge AI/ Serveless</t>
  </si>
  <si>
    <t>Ressource &amp; Workload Optimierung</t>
  </si>
  <si>
    <t>Häufigkeit</t>
  </si>
  <si>
    <t>Y (UC)</t>
  </si>
  <si>
    <t>X (Herausf)</t>
  </si>
  <si>
    <t>Label</t>
  </si>
  <si>
    <t>Kategorie</t>
  </si>
  <si>
    <t>Spalte1</t>
  </si>
  <si>
    <t>Sicherheits- &amp; Bedrohungserkennung</t>
  </si>
  <si>
    <t>Resilienz, Self-Healing und Predictive Maintenance</t>
  </si>
  <si>
    <t>Intelligente Bereitstellung (Edge-AI &amp; Serverless)</t>
  </si>
  <si>
    <t xml:space="preserve">AI Governance, Datenschutz und Compliance </t>
  </si>
  <si>
    <t xml:space="preserve">Integrationskomplexität &amp; Abhängigkeiten </t>
  </si>
  <si>
    <t xml:space="preserve">Datenqualität, Datenverfügbarkeit und Heterogenität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</si>
</sst>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'Mappingtabelle RQ1'!$B$1</c:f>
              <c:strCache>
                <c:ptCount val="1"/>
                <c:pt idx="0">
                  <c:v>Y (UC)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'Mappingtabelle RQ1'!$A$2:$A$26</c:f>
              <c:strCache>
                <c:ptCount val="25"/>
                <c:pt idx="0">
                  <c:v>CI/CD &amp; Pipeline Optimierung</c:v>
                </c:pt>
                <c:pt idx="1">
                  <c:v>CI/CD &amp; Pipeline Optimierung</c:v>
                </c:pt>
                <c:pt idx="2">
                  <c:v>CI/CD &amp; Pipeline Optimierung</c:v>
                </c:pt>
                <c:pt idx="3">
                  <c:v>CI/CD &amp; Pipeline Optimierung</c:v>
                </c:pt>
                <c:pt idx="4">
                  <c:v>CI/CD &amp; Pipeline Optimierung</c:v>
                </c:pt>
                <c:pt idx="5">
                  <c:v>Ressource &amp; Workload Optimierung</c:v>
                </c:pt>
                <c:pt idx="6">
                  <c:v>Ressource &amp; Workload Optimierung</c:v>
                </c:pt>
                <c:pt idx="7">
                  <c:v>Ressource &amp; Workload Optimierung</c:v>
                </c:pt>
                <c:pt idx="8">
                  <c:v>Ressource &amp; Workload Optimierung</c:v>
                </c:pt>
                <c:pt idx="9">
                  <c:v>Ressource &amp; Workload Optimierung</c:v>
                </c:pt>
                <c:pt idx="10">
                  <c:v>Sicherheits- &amp; Bedrohungserkennung</c:v>
                </c:pt>
                <c:pt idx="11">
                  <c:v>Sicherheits- &amp; Bedrohungserkennung</c:v>
                </c:pt>
                <c:pt idx="12">
                  <c:v>Sicherheits- &amp; Bedrohungserkennung</c:v>
                </c:pt>
                <c:pt idx="13">
                  <c:v>Sicherheits- &amp; Bedrohungserkennung</c:v>
                </c:pt>
                <c:pt idx="14">
                  <c:v>Sicherheits- &amp; Bedrohungserkennung</c:v>
                </c:pt>
                <c:pt idx="15">
                  <c:v>Resilienz, Self-Healing und Predictive Maintenance</c:v>
                </c:pt>
                <c:pt idx="16">
                  <c:v>Resilienz, Self-Healing und Predictive Maintenance</c:v>
                </c:pt>
                <c:pt idx="17">
                  <c:v>Resilienz, Self-Healing und Predictive Maintenance</c:v>
                </c:pt>
                <c:pt idx="18">
                  <c:v>Resilienz, Self-Healing und Predictive Maintenance</c:v>
                </c:pt>
                <c:pt idx="19">
                  <c:v>Resilienz, Self-Healing und Predictive Maintenance</c:v>
                </c:pt>
                <c:pt idx="20">
                  <c:v>Intelligente Bereitstellung (Edge-AI &amp; Serverless)</c:v>
                </c:pt>
                <c:pt idx="21">
                  <c:v>Intelligente Bereitstellung (Edge-AI &amp; Serverless)</c:v>
                </c:pt>
                <c:pt idx="22">
                  <c:v>Intelligente Bereitstellung (Edge-AI &amp; Serverless)</c:v>
                </c:pt>
                <c:pt idx="23">
                  <c:v>Intelligente Bereitstellung (Edge-AI &amp; Serverless)</c:v>
                </c:pt>
                <c:pt idx="24">
                  <c:v>Intelligente Bereitstellung (Edge-AI &amp; Serverless)</c:v>
                </c:pt>
              </c:strCache>
            </c:strRef>
          </c:xVal>
          <c:yVal>
            <c:numRef>
              <c:f>'Mappingtabelle RQ1'!$B$2:$B$26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yVal>
          <c:bubbleSize>
            <c:numRef>
              <c:f>'Mappingtabelle RQ1'!$C$2:$C$26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5CA-45B9-83FC-9BC08060D9DB}"/>
            </c:ext>
          </c:extLst>
        </c:ser>
        <c:ser>
          <c:idx val="1"/>
          <c:order val="1"/>
          <c:tx>
            <c:strRef>
              <c:f>'Mappingtabelle RQ1'!$D$1</c:f>
              <c:strCache>
                <c:ptCount val="1"/>
                <c:pt idx="0">
                  <c:v>X (Herausf)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CA-45B9-83FC-9BC08060D9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'Mappingtabelle RQ1'!$A$2:$A$26</c:f>
              <c:strCache>
                <c:ptCount val="25"/>
                <c:pt idx="0">
                  <c:v>CI/CD &amp; Pipeline Optimierung</c:v>
                </c:pt>
                <c:pt idx="1">
                  <c:v>CI/CD &amp; Pipeline Optimierung</c:v>
                </c:pt>
                <c:pt idx="2">
                  <c:v>CI/CD &amp; Pipeline Optimierung</c:v>
                </c:pt>
                <c:pt idx="3">
                  <c:v>CI/CD &amp; Pipeline Optimierung</c:v>
                </c:pt>
                <c:pt idx="4">
                  <c:v>CI/CD &amp; Pipeline Optimierung</c:v>
                </c:pt>
                <c:pt idx="5">
                  <c:v>Ressource &amp; Workload Optimierung</c:v>
                </c:pt>
                <c:pt idx="6">
                  <c:v>Ressource &amp; Workload Optimierung</c:v>
                </c:pt>
                <c:pt idx="7">
                  <c:v>Ressource &amp; Workload Optimierung</c:v>
                </c:pt>
                <c:pt idx="8">
                  <c:v>Ressource &amp; Workload Optimierung</c:v>
                </c:pt>
                <c:pt idx="9">
                  <c:v>Ressource &amp; Workload Optimierung</c:v>
                </c:pt>
                <c:pt idx="10">
                  <c:v>Sicherheits- &amp; Bedrohungserkennung</c:v>
                </c:pt>
                <c:pt idx="11">
                  <c:v>Sicherheits- &amp; Bedrohungserkennung</c:v>
                </c:pt>
                <c:pt idx="12">
                  <c:v>Sicherheits- &amp; Bedrohungserkennung</c:v>
                </c:pt>
                <c:pt idx="13">
                  <c:v>Sicherheits- &amp; Bedrohungserkennung</c:v>
                </c:pt>
                <c:pt idx="14">
                  <c:v>Sicherheits- &amp; Bedrohungserkennung</c:v>
                </c:pt>
                <c:pt idx="15">
                  <c:v>Resilienz, Self-Healing und Predictive Maintenance</c:v>
                </c:pt>
                <c:pt idx="16">
                  <c:v>Resilienz, Self-Healing und Predictive Maintenance</c:v>
                </c:pt>
                <c:pt idx="17">
                  <c:v>Resilienz, Self-Healing und Predictive Maintenance</c:v>
                </c:pt>
                <c:pt idx="18">
                  <c:v>Resilienz, Self-Healing und Predictive Maintenance</c:v>
                </c:pt>
                <c:pt idx="19">
                  <c:v>Resilienz, Self-Healing und Predictive Maintenance</c:v>
                </c:pt>
                <c:pt idx="20">
                  <c:v>Intelligente Bereitstellung (Edge-AI &amp; Serverless)</c:v>
                </c:pt>
                <c:pt idx="21">
                  <c:v>Intelligente Bereitstellung (Edge-AI &amp; Serverless)</c:v>
                </c:pt>
                <c:pt idx="22">
                  <c:v>Intelligente Bereitstellung (Edge-AI &amp; Serverless)</c:v>
                </c:pt>
                <c:pt idx="23">
                  <c:v>Intelligente Bereitstellung (Edge-AI &amp; Serverless)</c:v>
                </c:pt>
                <c:pt idx="24">
                  <c:v>Intelligente Bereitstellung (Edge-AI &amp; Serverless)</c:v>
                </c:pt>
              </c:strCache>
            </c:strRef>
          </c:xVal>
          <c:yVal>
            <c:numRef>
              <c:f>'Mappingtabelle RQ1'!$D$2:$D$26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'Mappingtabelle RQ1'!$E$2:$E$26</c:f>
              <c:numCache>
                <c:formatCode>General</c:formatCode>
                <c:ptCount val="25"/>
                <c:pt idx="0">
                  <c:v>15</c:v>
                </c:pt>
                <c:pt idx="1">
                  <c:v>13</c:v>
                </c:pt>
                <c:pt idx="2">
                  <c:v>14</c:v>
                </c:pt>
                <c:pt idx="3">
                  <c:v>12</c:v>
                </c:pt>
                <c:pt idx="4">
                  <c:v>15</c:v>
                </c:pt>
                <c:pt idx="5">
                  <c:v>19</c:v>
                </c:pt>
                <c:pt idx="6">
                  <c:v>17</c:v>
                </c:pt>
                <c:pt idx="7">
                  <c:v>17</c:v>
                </c:pt>
                <c:pt idx="8">
                  <c:v>15</c:v>
                </c:pt>
                <c:pt idx="9">
                  <c:v>18</c:v>
                </c:pt>
                <c:pt idx="10">
                  <c:v>12</c:v>
                </c:pt>
                <c:pt idx="11">
                  <c:v>10</c:v>
                </c:pt>
                <c:pt idx="12">
                  <c:v>12</c:v>
                </c:pt>
                <c:pt idx="13">
                  <c:v>8</c:v>
                </c:pt>
                <c:pt idx="14">
                  <c:v>11</c:v>
                </c:pt>
                <c:pt idx="15">
                  <c:v>14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13</c:v>
                </c:pt>
                <c:pt idx="20">
                  <c:v>11</c:v>
                </c:pt>
                <c:pt idx="21">
                  <c:v>10</c:v>
                </c:pt>
                <c:pt idx="22">
                  <c:v>11</c:v>
                </c:pt>
                <c:pt idx="23">
                  <c:v>10</c:v>
                </c:pt>
                <c:pt idx="24">
                  <c:v>10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D5CA-45B9-83FC-9BC08060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544237520"/>
        <c:axId val="1544238960"/>
      </c:bubbleChart>
      <c:valAx>
        <c:axId val="154423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8960"/>
        <c:crosses val="autoZero"/>
        <c:crossBetween val="midCat"/>
      </c:valAx>
      <c:valAx>
        <c:axId val="15442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'Mappingtabelle RQ1 (2)'!$B$1</c:f>
              <c:strCache>
                <c:ptCount val="1"/>
                <c:pt idx="0">
                  <c:v>Y (UC)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'Mappingtabelle RQ1 (2)'!$A$2:$A$26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'Mappingtabelle RQ1 (2)'!$B$2:$B$26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yVal>
          <c:bubbleSize>
            <c:numRef>
              <c:f>'Mappingtabelle RQ1 (2)'!$D$2:$D$26</c:f>
              <c:numCache>
                <c:formatCode>General</c:formatCode>
                <c:ptCount val="25"/>
                <c:pt idx="0">
                  <c:v>150</c:v>
                </c:pt>
                <c:pt idx="1">
                  <c:v>130</c:v>
                </c:pt>
                <c:pt idx="2">
                  <c:v>140</c:v>
                </c:pt>
                <c:pt idx="3">
                  <c:v>120</c:v>
                </c:pt>
                <c:pt idx="4">
                  <c:v>150</c:v>
                </c:pt>
                <c:pt idx="5">
                  <c:v>190</c:v>
                </c:pt>
                <c:pt idx="6">
                  <c:v>170</c:v>
                </c:pt>
                <c:pt idx="7">
                  <c:v>170</c:v>
                </c:pt>
                <c:pt idx="8">
                  <c:v>150</c:v>
                </c:pt>
                <c:pt idx="9">
                  <c:v>180</c:v>
                </c:pt>
                <c:pt idx="10">
                  <c:v>120</c:v>
                </c:pt>
                <c:pt idx="11">
                  <c:v>100</c:v>
                </c:pt>
                <c:pt idx="12">
                  <c:v>120</c:v>
                </c:pt>
                <c:pt idx="13">
                  <c:v>80</c:v>
                </c:pt>
                <c:pt idx="14">
                  <c:v>110</c:v>
                </c:pt>
                <c:pt idx="15">
                  <c:v>140</c:v>
                </c:pt>
                <c:pt idx="16">
                  <c:v>120</c:v>
                </c:pt>
                <c:pt idx="17">
                  <c:v>120</c:v>
                </c:pt>
                <c:pt idx="18">
                  <c:v>110</c:v>
                </c:pt>
                <c:pt idx="19">
                  <c:v>130</c:v>
                </c:pt>
                <c:pt idx="20">
                  <c:v>110</c:v>
                </c:pt>
                <c:pt idx="21">
                  <c:v>100</c:v>
                </c:pt>
                <c:pt idx="22">
                  <c:v>110</c:v>
                </c:pt>
                <c:pt idx="23">
                  <c:v>100</c:v>
                </c:pt>
                <c:pt idx="24">
                  <c:v>100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1F3-4147-B095-7A3816C8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w"/>
        <c:axId val="84942304"/>
        <c:axId val="84941344"/>
      </c:bubbleChart>
      <c:valAx>
        <c:axId val="84942304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1344"/>
        <c:crosses val="autoZero"/>
        <c:crossBetween val="midCat"/>
      </c:valAx>
      <c:valAx>
        <c:axId val="849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4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27</xdr:row>
      <xdr:rowOff>152400</xdr:rowOff>
    </xdr:from>
    <xdr:to>
      <xdr:col>3</xdr:col>
      <xdr:colOff>104775</xdr:colOff>
      <xdr:row>42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6AC24C4-F584-B19F-B73F-0B552D455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714374</xdr:colOff>
      <xdr:row>29</xdr:row>
      <xdr:rowOff>115887</xdr:rowOff>
    </xdr:from>
    <xdr:to>
      <xdr:col>5</xdr:col>
      <xdr:colOff>9524</xdr:colOff>
      <xdr:row>53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D0CD2B-3D50-25D7-932D-E9FFB68CC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1158875</xdr:colOff>
      <xdr:row>49</xdr:row>
      <xdr:rowOff>161925</xdr:rowOff>
    </xdr:from>
    <xdr:to>
      <xdr:col>1</xdr:col>
      <xdr:colOff>2101850</xdr:colOff>
      <xdr:row>51</xdr:row>
      <xdr:rowOff>142875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B30F572-6718-8656-A834-302F404B1BA4}"/>
            </a:ext>
          </a:extLst>
        </xdr:cNvPr>
        <xdr:cNvSpPr txBox="1"/>
      </xdr:nvSpPr>
      <xdr:spPr>
        <a:xfrm>
          <a:off x="3416300" y="9029700"/>
          <a:ext cx="9429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Ressourcen &amp; Kosten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6E2EF-D64C-4855-9281-9F3C5286A26D}" name="Tabelle1" displayName="Tabelle1" ref="A1:F26" totalsRowShown="0" headerRowDxfId="7" dataDxfId="6">
  <autoFilter ref="A1:F26" xr:uid="{E706E2EF-D64C-4855-9281-9F3C5286A26D}"/>
  <tableColumns count="6">
    <tableColumn id="1" xr3:uid="{8CFD7DF8-757C-4E01-ABCD-C6C971A9D3DE}" name="X (Herausf)" dataDxfId="5"/>
    <tableColumn id="2" xr3:uid="{ED346FD2-DD74-49B6-B8CA-A80EFD95632E}" name="Y (UC)" dataDxfId="4"/>
    <tableColumn id="3" xr3:uid="{C4AE0138-F170-4A39-90C9-88174DC12CB7}" name="Häufigkeit" dataDxfId="3"/>
    <tableColumn id="6" xr3:uid="{4F9BD63C-3BD3-4F75-855F-FB944B02BCFB}" name="Spalte1" dataDxfId="2">
      <calculatedColumnFormula xml:space="preserve"> Tabelle1[[#This Row],[Häufigkeit]]*10</calculatedColumnFormula>
    </tableColumn>
    <tableColumn id="4" xr3:uid="{D0A6725A-B7D1-45D5-AA1B-63CD205FF1DE}" name="Kategorie" dataDxfId="1"/>
    <tableColumn id="5" xr3:uid="{810C6E41-BD58-414D-AAB2-8C3E00AE47FA}" name="Lab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608C-1924-46DD-8E28-61000335C5AC}">
  <dimension ref="A1:AT11"/>
  <sheetViews>
    <sheetView zoomScale="70" zoomScaleNormal="70" workbookViewId="0">
      <selection activeCell="E4" sqref="E4"/>
    </sheetView>
  </sheetViews>
  <sheetFormatPr baseColWidth="10" defaultRowHeight="14.5" x14ac:dyDescent="0.35"/>
  <cols>
    <col min="1" max="1" width="18.6328125" customWidth="1"/>
    <col min="2" max="2" width="30.7265625" customWidth="1"/>
    <col min="3" max="3" width="39" customWidth="1"/>
    <col min="4" max="4" width="74.6328125" customWidth="1"/>
    <col min="5" max="5" width="41.1796875" customWidth="1"/>
  </cols>
  <sheetData>
    <row r="1" spans="1:46" x14ac:dyDescent="0.35">
      <c r="B1" s="3"/>
      <c r="C1" s="3" t="s">
        <v>0</v>
      </c>
      <c r="D1" s="3" t="s">
        <v>1</v>
      </c>
    </row>
    <row r="2" spans="1:46" s="4" customFormat="1" ht="51.5" customHeight="1" x14ac:dyDescent="0.35">
      <c r="A2" s="11" t="s">
        <v>12</v>
      </c>
      <c r="B2" s="1" t="s">
        <v>2</v>
      </c>
      <c r="C2" s="2">
        <v>15</v>
      </c>
      <c r="D2" s="1" t="s">
        <v>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4" customFormat="1" ht="58" x14ac:dyDescent="0.35">
      <c r="A3" s="11"/>
      <c r="B3" s="1" t="s">
        <v>3</v>
      </c>
      <c r="C3" s="2">
        <v>18</v>
      </c>
      <c r="D3" s="1" t="s">
        <v>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6" s="4" customFormat="1" ht="72.5" x14ac:dyDescent="0.35">
      <c r="A4" s="11"/>
      <c r="B4" s="1" t="s">
        <v>4</v>
      </c>
      <c r="C4" s="2">
        <v>12</v>
      </c>
      <c r="D4" s="1" t="s">
        <v>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4" customFormat="1" ht="58" x14ac:dyDescent="0.35">
      <c r="A5" s="11"/>
      <c r="B5" s="1" t="s">
        <v>5</v>
      </c>
      <c r="C5" s="2">
        <v>14</v>
      </c>
      <c r="D5" s="1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1:46" s="4" customFormat="1" ht="58" x14ac:dyDescent="0.35">
      <c r="A6" s="11"/>
      <c r="B6" s="1" t="s">
        <v>6</v>
      </c>
      <c r="C6" s="2">
        <v>11</v>
      </c>
      <c r="D6" s="1" t="s">
        <v>11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 spans="1:46" s="4" customFormat="1" ht="87" x14ac:dyDescent="0.35">
      <c r="A7" s="11" t="s">
        <v>18</v>
      </c>
      <c r="B7" s="1" t="s">
        <v>13</v>
      </c>
      <c r="C7" s="2">
        <v>21</v>
      </c>
      <c r="D7" s="1" t="s">
        <v>19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 spans="1:46" s="4" customFormat="1" ht="43.5" x14ac:dyDescent="0.35">
      <c r="A8" s="11"/>
      <c r="B8" s="1" t="s">
        <v>14</v>
      </c>
      <c r="C8" s="2">
        <v>19</v>
      </c>
      <c r="D8" s="1" t="s">
        <v>20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1:46" s="4" customFormat="1" ht="58" x14ac:dyDescent="0.35">
      <c r="A9" s="11"/>
      <c r="B9" s="1" t="s">
        <v>15</v>
      </c>
      <c r="C9" s="2">
        <v>19</v>
      </c>
      <c r="D9" s="1" t="s">
        <v>21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1:46" s="4" customFormat="1" ht="58" x14ac:dyDescent="0.35">
      <c r="A10" s="11"/>
      <c r="B10" s="1" t="s">
        <v>16</v>
      </c>
      <c r="C10" s="2">
        <v>15</v>
      </c>
      <c r="D10" s="1" t="s">
        <v>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1:46" s="4" customFormat="1" ht="87" x14ac:dyDescent="0.35">
      <c r="A11" s="11"/>
      <c r="B11" s="1" t="s">
        <v>17</v>
      </c>
      <c r="C11" s="2">
        <v>20</v>
      </c>
      <c r="D11" s="1" t="s">
        <v>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</sheetData>
  <mergeCells count="2">
    <mergeCell ref="A2:A6"/>
    <mergeCell ref="A7:A1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32D9-5FDF-4B13-A8A2-A3E26E74C01B}">
  <dimension ref="A1:F6"/>
  <sheetViews>
    <sheetView tabSelected="1" workbookViewId="0">
      <selection sqref="A1:F7"/>
    </sheetView>
  </sheetViews>
  <sheetFormatPr baseColWidth="10" defaultRowHeight="14.5" x14ac:dyDescent="0.35"/>
  <cols>
    <col min="1" max="1" width="32.26953125" customWidth="1"/>
    <col min="2" max="6" width="21.81640625" style="6" customWidth="1"/>
  </cols>
  <sheetData>
    <row r="1" spans="1:6" ht="29" x14ac:dyDescent="0.35">
      <c r="A1" s="7" t="s">
        <v>29</v>
      </c>
      <c r="B1" s="5" t="s">
        <v>24</v>
      </c>
      <c r="C1" s="5" t="s">
        <v>25</v>
      </c>
      <c r="D1" s="9" t="s">
        <v>26</v>
      </c>
      <c r="E1" s="5" t="s">
        <v>27</v>
      </c>
      <c r="F1" s="5" t="s">
        <v>28</v>
      </c>
    </row>
    <row r="2" spans="1:6" x14ac:dyDescent="0.35">
      <c r="A2" s="5" t="s">
        <v>30</v>
      </c>
      <c r="B2" s="6">
        <v>10</v>
      </c>
      <c r="C2" s="6">
        <v>9</v>
      </c>
      <c r="D2" s="10">
        <v>9</v>
      </c>
      <c r="E2" s="6">
        <v>9</v>
      </c>
      <c r="F2" s="6">
        <v>8</v>
      </c>
    </row>
    <row r="3" spans="1:6" x14ac:dyDescent="0.35">
      <c r="A3" s="5" t="s">
        <v>34</v>
      </c>
      <c r="B3" s="6">
        <v>17</v>
      </c>
      <c r="C3" s="6">
        <v>16</v>
      </c>
      <c r="D3" s="10">
        <v>14</v>
      </c>
      <c r="E3" s="6">
        <v>15</v>
      </c>
      <c r="F3" s="6">
        <v>13</v>
      </c>
    </row>
    <row r="4" spans="1:6" x14ac:dyDescent="0.35">
      <c r="A4" s="9" t="s">
        <v>31</v>
      </c>
      <c r="B4" s="10">
        <v>14</v>
      </c>
      <c r="C4" s="10">
        <v>13</v>
      </c>
      <c r="D4" s="10">
        <v>14</v>
      </c>
      <c r="E4" s="10">
        <v>11</v>
      </c>
      <c r="F4" s="10">
        <v>10</v>
      </c>
    </row>
    <row r="5" spans="1:6" x14ac:dyDescent="0.35">
      <c r="A5" s="5" t="s">
        <v>32</v>
      </c>
      <c r="B5" s="6">
        <v>17</v>
      </c>
      <c r="C5" s="6">
        <v>16</v>
      </c>
      <c r="D5" s="10">
        <v>14</v>
      </c>
      <c r="E5" s="6">
        <v>16</v>
      </c>
      <c r="F5" s="6">
        <v>12</v>
      </c>
    </row>
    <row r="6" spans="1:6" x14ac:dyDescent="0.35">
      <c r="A6" s="5" t="s">
        <v>33</v>
      </c>
      <c r="B6" s="6">
        <v>14</v>
      </c>
      <c r="C6" s="6">
        <v>13</v>
      </c>
      <c r="D6" s="10">
        <v>13</v>
      </c>
      <c r="E6" s="6">
        <v>12</v>
      </c>
      <c r="F6" s="6">
        <v>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B687-1B36-4642-B0C3-0FB5595C7692}">
  <dimension ref="A1:J26"/>
  <sheetViews>
    <sheetView zoomScale="85" zoomScaleNormal="85" workbookViewId="0">
      <selection activeCell="G9" sqref="G9"/>
    </sheetView>
  </sheetViews>
  <sheetFormatPr baseColWidth="10" defaultRowHeight="14.5" x14ac:dyDescent="0.35"/>
  <cols>
    <col min="1" max="1" width="45.81640625" customWidth="1"/>
    <col min="2" max="2" width="17.08984375" style="14" customWidth="1"/>
    <col min="3" max="3" width="40.90625" customWidth="1"/>
    <col min="4" max="4" width="17.90625" style="15" customWidth="1"/>
    <col min="5" max="5" width="19.54296875" style="15" customWidth="1"/>
    <col min="6" max="10" width="21.81640625" style="6" customWidth="1"/>
  </cols>
  <sheetData>
    <row r="1" spans="1:5" x14ac:dyDescent="0.35">
      <c r="A1" s="8" t="s">
        <v>12</v>
      </c>
      <c r="B1" s="12" t="s">
        <v>36</v>
      </c>
      <c r="C1" s="8" t="s">
        <v>18</v>
      </c>
      <c r="D1" s="12" t="s">
        <v>37</v>
      </c>
      <c r="E1" s="12" t="s">
        <v>35</v>
      </c>
    </row>
    <row r="2" spans="1:5" x14ac:dyDescent="0.35">
      <c r="A2" s="5" t="s">
        <v>30</v>
      </c>
      <c r="B2" s="13">
        <v>1</v>
      </c>
      <c r="C2" s="16" t="s">
        <v>13</v>
      </c>
      <c r="D2" s="13">
        <v>1</v>
      </c>
      <c r="E2" s="13">
        <v>15</v>
      </c>
    </row>
    <row r="3" spans="1:5" x14ac:dyDescent="0.35">
      <c r="A3" s="5" t="s">
        <v>30</v>
      </c>
      <c r="B3" s="13">
        <v>1</v>
      </c>
      <c r="C3" s="16" t="s">
        <v>14</v>
      </c>
      <c r="D3" s="13">
        <v>2</v>
      </c>
      <c r="E3" s="13">
        <v>13</v>
      </c>
    </row>
    <row r="4" spans="1:5" ht="29" x14ac:dyDescent="0.35">
      <c r="A4" s="5" t="s">
        <v>30</v>
      </c>
      <c r="B4" s="13">
        <v>1</v>
      </c>
      <c r="C4" s="16" t="s">
        <v>44</v>
      </c>
      <c r="D4" s="13">
        <v>3</v>
      </c>
      <c r="E4" s="13">
        <v>14</v>
      </c>
    </row>
    <row r="5" spans="1:5" ht="29" x14ac:dyDescent="0.35">
      <c r="A5" s="5" t="s">
        <v>30</v>
      </c>
      <c r="B5" s="13">
        <v>1</v>
      </c>
      <c r="C5" s="16" t="s">
        <v>45</v>
      </c>
      <c r="D5" s="13">
        <v>4</v>
      </c>
      <c r="E5" s="13">
        <v>12</v>
      </c>
    </row>
    <row r="6" spans="1:5" ht="29" x14ac:dyDescent="0.35">
      <c r="A6" s="5" t="s">
        <v>30</v>
      </c>
      <c r="B6" s="13">
        <v>1</v>
      </c>
      <c r="C6" s="16" t="s">
        <v>46</v>
      </c>
      <c r="D6" s="13">
        <v>5</v>
      </c>
      <c r="E6" s="13">
        <v>15</v>
      </c>
    </row>
    <row r="7" spans="1:5" x14ac:dyDescent="0.35">
      <c r="A7" s="5" t="s">
        <v>34</v>
      </c>
      <c r="B7" s="13">
        <v>2</v>
      </c>
      <c r="C7" s="16" t="s">
        <v>13</v>
      </c>
      <c r="D7" s="13">
        <v>1</v>
      </c>
      <c r="E7" s="13">
        <v>19</v>
      </c>
    </row>
    <row r="8" spans="1:5" x14ac:dyDescent="0.35">
      <c r="A8" s="5" t="s">
        <v>34</v>
      </c>
      <c r="B8" s="13">
        <v>2</v>
      </c>
      <c r="C8" s="16" t="s">
        <v>14</v>
      </c>
      <c r="D8" s="13">
        <v>2</v>
      </c>
      <c r="E8" s="13">
        <v>17</v>
      </c>
    </row>
    <row r="9" spans="1:5" ht="29" x14ac:dyDescent="0.35">
      <c r="A9" s="5" t="s">
        <v>34</v>
      </c>
      <c r="B9" s="13">
        <v>2</v>
      </c>
      <c r="C9" s="16" t="s">
        <v>44</v>
      </c>
      <c r="D9" s="13">
        <v>3</v>
      </c>
      <c r="E9" s="13">
        <v>17</v>
      </c>
    </row>
    <row r="10" spans="1:5" ht="29" x14ac:dyDescent="0.35">
      <c r="A10" s="5" t="s">
        <v>34</v>
      </c>
      <c r="B10" s="13">
        <v>2</v>
      </c>
      <c r="C10" s="16" t="s">
        <v>45</v>
      </c>
      <c r="D10" s="13">
        <v>4</v>
      </c>
      <c r="E10" s="13">
        <v>15</v>
      </c>
    </row>
    <row r="11" spans="1:5" ht="29" x14ac:dyDescent="0.35">
      <c r="A11" s="5" t="s">
        <v>34</v>
      </c>
      <c r="B11" s="13">
        <v>2</v>
      </c>
      <c r="C11" s="16" t="s">
        <v>46</v>
      </c>
      <c r="D11" s="13">
        <v>5</v>
      </c>
      <c r="E11" s="13">
        <v>18</v>
      </c>
    </row>
    <row r="12" spans="1:5" x14ac:dyDescent="0.35">
      <c r="A12" s="5" t="s">
        <v>41</v>
      </c>
      <c r="B12" s="13">
        <v>3</v>
      </c>
      <c r="C12" s="16" t="s">
        <v>13</v>
      </c>
      <c r="D12" s="13">
        <v>1</v>
      </c>
      <c r="E12" s="13">
        <v>12</v>
      </c>
    </row>
    <row r="13" spans="1:5" x14ac:dyDescent="0.35">
      <c r="A13" s="5" t="s">
        <v>41</v>
      </c>
      <c r="B13" s="13">
        <v>3</v>
      </c>
      <c r="C13" s="16" t="s">
        <v>14</v>
      </c>
      <c r="D13" s="13">
        <v>2</v>
      </c>
      <c r="E13" s="13">
        <v>10</v>
      </c>
    </row>
    <row r="14" spans="1:5" ht="29" x14ac:dyDescent="0.35">
      <c r="A14" s="5" t="s">
        <v>41</v>
      </c>
      <c r="B14" s="13">
        <v>3</v>
      </c>
      <c r="C14" s="16" t="s">
        <v>44</v>
      </c>
      <c r="D14" s="13">
        <v>3</v>
      </c>
      <c r="E14" s="13">
        <v>12</v>
      </c>
    </row>
    <row r="15" spans="1:5" ht="29" x14ac:dyDescent="0.35">
      <c r="A15" s="5" t="s">
        <v>41</v>
      </c>
      <c r="B15" s="13">
        <v>3</v>
      </c>
      <c r="C15" s="16" t="s">
        <v>45</v>
      </c>
      <c r="D15" s="13">
        <v>4</v>
      </c>
      <c r="E15" s="13">
        <v>8</v>
      </c>
    </row>
    <row r="16" spans="1:5" ht="29" x14ac:dyDescent="0.35">
      <c r="A16" s="5" t="s">
        <v>41</v>
      </c>
      <c r="B16" s="13">
        <v>3</v>
      </c>
      <c r="C16" s="16" t="s">
        <v>46</v>
      </c>
      <c r="D16" s="13">
        <v>5</v>
      </c>
      <c r="E16" s="13">
        <v>11</v>
      </c>
    </row>
    <row r="17" spans="1:5" x14ac:dyDescent="0.35">
      <c r="A17" s="5" t="s">
        <v>42</v>
      </c>
      <c r="B17" s="13">
        <v>4</v>
      </c>
      <c r="C17" s="16" t="s">
        <v>13</v>
      </c>
      <c r="D17" s="13">
        <v>1</v>
      </c>
      <c r="E17" s="13">
        <v>14</v>
      </c>
    </row>
    <row r="18" spans="1:5" x14ac:dyDescent="0.35">
      <c r="A18" s="5" t="s">
        <v>42</v>
      </c>
      <c r="B18" s="13">
        <v>4</v>
      </c>
      <c r="C18" s="16" t="s">
        <v>14</v>
      </c>
      <c r="D18" s="13">
        <v>2</v>
      </c>
      <c r="E18" s="13">
        <v>12</v>
      </c>
    </row>
    <row r="19" spans="1:5" ht="29" x14ac:dyDescent="0.35">
      <c r="A19" s="5" t="s">
        <v>42</v>
      </c>
      <c r="B19" s="13">
        <v>4</v>
      </c>
      <c r="C19" s="16" t="s">
        <v>44</v>
      </c>
      <c r="D19" s="13">
        <v>3</v>
      </c>
      <c r="E19" s="13">
        <v>12</v>
      </c>
    </row>
    <row r="20" spans="1:5" ht="29" x14ac:dyDescent="0.35">
      <c r="A20" s="5" t="s">
        <v>42</v>
      </c>
      <c r="B20" s="13">
        <v>4</v>
      </c>
      <c r="C20" s="16" t="s">
        <v>45</v>
      </c>
      <c r="D20" s="13">
        <v>4</v>
      </c>
      <c r="E20" s="13">
        <v>11</v>
      </c>
    </row>
    <row r="21" spans="1:5" ht="29" x14ac:dyDescent="0.35">
      <c r="A21" s="5" t="s">
        <v>42</v>
      </c>
      <c r="B21" s="13">
        <v>4</v>
      </c>
      <c r="C21" s="16" t="s">
        <v>46</v>
      </c>
      <c r="D21" s="13">
        <v>5</v>
      </c>
      <c r="E21" s="13">
        <v>13</v>
      </c>
    </row>
    <row r="22" spans="1:5" x14ac:dyDescent="0.35">
      <c r="A22" s="5" t="s">
        <v>43</v>
      </c>
      <c r="B22" s="13">
        <v>5</v>
      </c>
      <c r="C22" s="16" t="s">
        <v>13</v>
      </c>
      <c r="D22" s="13">
        <v>1</v>
      </c>
      <c r="E22" s="13">
        <v>11</v>
      </c>
    </row>
    <row r="23" spans="1:5" x14ac:dyDescent="0.35">
      <c r="A23" s="5" t="s">
        <v>43</v>
      </c>
      <c r="B23" s="13">
        <v>5</v>
      </c>
      <c r="C23" s="16" t="s">
        <v>14</v>
      </c>
      <c r="D23" s="13">
        <v>2</v>
      </c>
      <c r="E23" s="13">
        <v>10</v>
      </c>
    </row>
    <row r="24" spans="1:5" ht="29" x14ac:dyDescent="0.35">
      <c r="A24" s="5" t="s">
        <v>43</v>
      </c>
      <c r="B24" s="13">
        <v>5</v>
      </c>
      <c r="C24" s="16" t="s">
        <v>44</v>
      </c>
      <c r="D24" s="13">
        <v>3</v>
      </c>
      <c r="E24" s="13">
        <v>11</v>
      </c>
    </row>
    <row r="25" spans="1:5" ht="29" x14ac:dyDescent="0.35">
      <c r="A25" s="5" t="s">
        <v>43</v>
      </c>
      <c r="B25" s="13">
        <v>5</v>
      </c>
      <c r="C25" s="16" t="s">
        <v>45</v>
      </c>
      <c r="D25" s="13">
        <v>4</v>
      </c>
      <c r="E25" s="13">
        <v>10</v>
      </c>
    </row>
    <row r="26" spans="1:5" ht="29" x14ac:dyDescent="0.35">
      <c r="A26" s="5" t="s">
        <v>43</v>
      </c>
      <c r="B26" s="13">
        <v>5</v>
      </c>
      <c r="C26" s="16" t="s">
        <v>46</v>
      </c>
      <c r="D26" s="13">
        <v>5</v>
      </c>
      <c r="E26" s="13">
        <v>10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E7C6-FF3A-488E-A5BE-37F61A4E87C7}">
  <dimension ref="A1:M58"/>
  <sheetViews>
    <sheetView workbookViewId="0">
      <selection activeCell="F44" sqref="F44"/>
    </sheetView>
  </sheetViews>
  <sheetFormatPr baseColWidth="10" defaultRowHeight="14.5" x14ac:dyDescent="0.35"/>
  <cols>
    <col min="1" max="8" width="32.26953125" customWidth="1"/>
    <col min="9" max="13" width="21.81640625" style="6" customWidth="1"/>
  </cols>
  <sheetData>
    <row r="1" spans="1:6" x14ac:dyDescent="0.35">
      <c r="A1" s="8" t="s">
        <v>37</v>
      </c>
      <c r="B1" s="8" t="s">
        <v>36</v>
      </c>
      <c r="C1" s="8" t="s">
        <v>35</v>
      </c>
      <c r="D1" s="8" t="s">
        <v>40</v>
      </c>
      <c r="E1" s="8" t="s">
        <v>39</v>
      </c>
      <c r="F1" s="8" t="s">
        <v>38</v>
      </c>
    </row>
    <row r="2" spans="1:6" x14ac:dyDescent="0.35">
      <c r="A2" s="5">
        <v>1</v>
      </c>
      <c r="B2" s="5">
        <v>1</v>
      </c>
      <c r="C2" s="5">
        <v>15</v>
      </c>
      <c r="D2" s="5">
        <f xml:space="preserve"> Tabelle1[[#This Row],[Häufigkeit]]*10</f>
        <v>150</v>
      </c>
      <c r="E2" s="5" t="s">
        <v>30</v>
      </c>
      <c r="F2" s="5" t="s">
        <v>24</v>
      </c>
    </row>
    <row r="3" spans="1:6" x14ac:dyDescent="0.35">
      <c r="A3" s="5">
        <v>2</v>
      </c>
      <c r="B3" s="5">
        <v>1</v>
      </c>
      <c r="C3" s="5">
        <v>13</v>
      </c>
      <c r="D3" s="5">
        <f xml:space="preserve"> Tabelle1[[#This Row],[Häufigkeit]]*10</f>
        <v>130</v>
      </c>
      <c r="E3" s="5" t="s">
        <v>30</v>
      </c>
      <c r="F3" s="5" t="s">
        <v>25</v>
      </c>
    </row>
    <row r="4" spans="1:6" x14ac:dyDescent="0.35">
      <c r="A4" s="5">
        <v>3</v>
      </c>
      <c r="B4" s="5">
        <v>1</v>
      </c>
      <c r="C4" s="5">
        <v>14</v>
      </c>
      <c r="D4" s="5">
        <f xml:space="preserve"> Tabelle1[[#This Row],[Häufigkeit]]*10</f>
        <v>140</v>
      </c>
      <c r="E4" s="5" t="s">
        <v>30</v>
      </c>
      <c r="F4" s="5" t="s">
        <v>26</v>
      </c>
    </row>
    <row r="5" spans="1:6" x14ac:dyDescent="0.35">
      <c r="A5" s="5">
        <v>4</v>
      </c>
      <c r="B5" s="5">
        <v>1</v>
      </c>
      <c r="C5" s="5">
        <v>12</v>
      </c>
      <c r="D5" s="5">
        <f xml:space="preserve"> Tabelle1[[#This Row],[Häufigkeit]]*10</f>
        <v>120</v>
      </c>
      <c r="E5" s="5" t="s">
        <v>30</v>
      </c>
      <c r="F5" s="5" t="s">
        <v>27</v>
      </c>
    </row>
    <row r="6" spans="1:6" x14ac:dyDescent="0.35">
      <c r="A6" s="5">
        <v>5</v>
      </c>
      <c r="B6" s="5">
        <v>1</v>
      </c>
      <c r="C6" s="5">
        <v>15</v>
      </c>
      <c r="D6" s="5">
        <f xml:space="preserve"> Tabelle1[[#This Row],[Häufigkeit]]*10</f>
        <v>150</v>
      </c>
      <c r="E6" s="5" t="s">
        <v>30</v>
      </c>
      <c r="F6" s="5" t="s">
        <v>28</v>
      </c>
    </row>
    <row r="7" spans="1:6" x14ac:dyDescent="0.35">
      <c r="A7" s="5">
        <v>1</v>
      </c>
      <c r="B7" s="5">
        <v>2</v>
      </c>
      <c r="C7" s="5">
        <v>19</v>
      </c>
      <c r="D7" s="5">
        <f xml:space="preserve"> Tabelle1[[#This Row],[Häufigkeit]]*10</f>
        <v>190</v>
      </c>
      <c r="E7" s="5" t="s">
        <v>34</v>
      </c>
      <c r="F7" s="5" t="s">
        <v>24</v>
      </c>
    </row>
    <row r="8" spans="1:6" x14ac:dyDescent="0.35">
      <c r="A8" s="5">
        <v>2</v>
      </c>
      <c r="B8" s="5">
        <v>2</v>
      </c>
      <c r="C8" s="5">
        <v>17</v>
      </c>
      <c r="D8" s="5">
        <f xml:space="preserve"> Tabelle1[[#This Row],[Häufigkeit]]*10</f>
        <v>170</v>
      </c>
      <c r="E8" s="5" t="s">
        <v>34</v>
      </c>
      <c r="F8" s="5" t="s">
        <v>25</v>
      </c>
    </row>
    <row r="9" spans="1:6" x14ac:dyDescent="0.35">
      <c r="A9" s="5">
        <v>3</v>
      </c>
      <c r="B9" s="5">
        <v>2</v>
      </c>
      <c r="C9" s="5">
        <v>17</v>
      </c>
      <c r="D9" s="5">
        <f xml:space="preserve"> Tabelle1[[#This Row],[Häufigkeit]]*10</f>
        <v>170</v>
      </c>
      <c r="E9" s="5" t="s">
        <v>34</v>
      </c>
      <c r="F9" s="5" t="s">
        <v>26</v>
      </c>
    </row>
    <row r="10" spans="1:6" x14ac:dyDescent="0.35">
      <c r="A10" s="5">
        <v>4</v>
      </c>
      <c r="B10" s="5">
        <v>2</v>
      </c>
      <c r="C10" s="5">
        <v>15</v>
      </c>
      <c r="D10" s="5">
        <f xml:space="preserve"> Tabelle1[[#This Row],[Häufigkeit]]*10</f>
        <v>150</v>
      </c>
      <c r="E10" s="5" t="s">
        <v>34</v>
      </c>
      <c r="F10" s="5" t="s">
        <v>27</v>
      </c>
    </row>
    <row r="11" spans="1:6" x14ac:dyDescent="0.35">
      <c r="A11" s="5">
        <v>5</v>
      </c>
      <c r="B11" s="5">
        <v>2</v>
      </c>
      <c r="C11" s="5">
        <v>18</v>
      </c>
      <c r="D11" s="5">
        <f xml:space="preserve"> Tabelle1[[#This Row],[Häufigkeit]]*10</f>
        <v>180</v>
      </c>
      <c r="E11" s="5" t="s">
        <v>34</v>
      </c>
      <c r="F11" s="5" t="s">
        <v>28</v>
      </c>
    </row>
    <row r="12" spans="1:6" x14ac:dyDescent="0.35">
      <c r="A12" s="5">
        <v>1</v>
      </c>
      <c r="B12" s="5">
        <v>3</v>
      </c>
      <c r="C12" s="5">
        <v>12</v>
      </c>
      <c r="D12" s="5">
        <f xml:space="preserve"> Tabelle1[[#This Row],[Häufigkeit]]*10</f>
        <v>120</v>
      </c>
      <c r="E12" s="5" t="s">
        <v>31</v>
      </c>
      <c r="F12" s="5" t="s">
        <v>24</v>
      </c>
    </row>
    <row r="13" spans="1:6" x14ac:dyDescent="0.35">
      <c r="A13" s="5">
        <v>2</v>
      </c>
      <c r="B13" s="5">
        <v>3</v>
      </c>
      <c r="C13" s="5">
        <v>10</v>
      </c>
      <c r="D13" s="5">
        <f xml:space="preserve"> Tabelle1[[#This Row],[Häufigkeit]]*10</f>
        <v>100</v>
      </c>
      <c r="E13" s="5" t="s">
        <v>31</v>
      </c>
      <c r="F13" s="5" t="s">
        <v>25</v>
      </c>
    </row>
    <row r="14" spans="1:6" x14ac:dyDescent="0.35">
      <c r="A14" s="5">
        <v>3</v>
      </c>
      <c r="B14" s="5">
        <v>3</v>
      </c>
      <c r="C14" s="5">
        <v>12</v>
      </c>
      <c r="D14" s="5">
        <f xml:space="preserve"> Tabelle1[[#This Row],[Häufigkeit]]*10</f>
        <v>120</v>
      </c>
      <c r="E14" s="5" t="s">
        <v>31</v>
      </c>
      <c r="F14" s="5" t="s">
        <v>26</v>
      </c>
    </row>
    <row r="15" spans="1:6" x14ac:dyDescent="0.35">
      <c r="A15" s="5">
        <v>4</v>
      </c>
      <c r="B15" s="5">
        <v>3</v>
      </c>
      <c r="C15" s="5">
        <v>8</v>
      </c>
      <c r="D15" s="5">
        <f xml:space="preserve"> Tabelle1[[#This Row],[Häufigkeit]]*10</f>
        <v>80</v>
      </c>
      <c r="E15" s="5" t="s">
        <v>31</v>
      </c>
      <c r="F15" s="5" t="s">
        <v>27</v>
      </c>
    </row>
    <row r="16" spans="1:6" x14ac:dyDescent="0.35">
      <c r="A16" s="5">
        <v>5</v>
      </c>
      <c r="B16" s="5">
        <v>3</v>
      </c>
      <c r="C16" s="5">
        <v>11</v>
      </c>
      <c r="D16" s="5">
        <f xml:space="preserve"> Tabelle1[[#This Row],[Häufigkeit]]*10</f>
        <v>110</v>
      </c>
      <c r="E16" s="5" t="s">
        <v>31</v>
      </c>
      <c r="F16" s="5" t="s">
        <v>28</v>
      </c>
    </row>
    <row r="17" spans="1:6" x14ac:dyDescent="0.35">
      <c r="A17" s="5">
        <v>1</v>
      </c>
      <c r="B17" s="5">
        <v>4</v>
      </c>
      <c r="C17" s="5">
        <v>14</v>
      </c>
      <c r="D17" s="5">
        <f xml:space="preserve"> Tabelle1[[#This Row],[Häufigkeit]]*10</f>
        <v>140</v>
      </c>
      <c r="E17" s="5" t="s">
        <v>32</v>
      </c>
      <c r="F17" s="5" t="s">
        <v>24</v>
      </c>
    </row>
    <row r="18" spans="1:6" x14ac:dyDescent="0.35">
      <c r="A18" s="5">
        <v>2</v>
      </c>
      <c r="B18" s="5">
        <v>4</v>
      </c>
      <c r="C18" s="5">
        <v>12</v>
      </c>
      <c r="D18" s="5">
        <f xml:space="preserve"> Tabelle1[[#This Row],[Häufigkeit]]*10</f>
        <v>120</v>
      </c>
      <c r="E18" s="5" t="s">
        <v>32</v>
      </c>
      <c r="F18" s="5" t="s">
        <v>25</v>
      </c>
    </row>
    <row r="19" spans="1:6" x14ac:dyDescent="0.35">
      <c r="A19" s="5">
        <v>3</v>
      </c>
      <c r="B19" s="5">
        <v>4</v>
      </c>
      <c r="C19" s="5">
        <v>12</v>
      </c>
      <c r="D19" s="5">
        <f xml:space="preserve"> Tabelle1[[#This Row],[Häufigkeit]]*10</f>
        <v>120</v>
      </c>
      <c r="E19" s="5" t="s">
        <v>32</v>
      </c>
      <c r="F19" s="5" t="s">
        <v>26</v>
      </c>
    </row>
    <row r="20" spans="1:6" x14ac:dyDescent="0.35">
      <c r="A20" s="5">
        <v>4</v>
      </c>
      <c r="B20" s="5">
        <v>4</v>
      </c>
      <c r="C20" s="5">
        <v>11</v>
      </c>
      <c r="D20" s="5">
        <f xml:space="preserve"> Tabelle1[[#This Row],[Häufigkeit]]*10</f>
        <v>110</v>
      </c>
      <c r="E20" s="5" t="s">
        <v>32</v>
      </c>
      <c r="F20" s="5" t="s">
        <v>27</v>
      </c>
    </row>
    <row r="21" spans="1:6" x14ac:dyDescent="0.35">
      <c r="A21" s="5">
        <v>5</v>
      </c>
      <c r="B21" s="5">
        <v>4</v>
      </c>
      <c r="C21" s="5">
        <v>13</v>
      </c>
      <c r="D21" s="5">
        <f xml:space="preserve"> Tabelle1[[#This Row],[Häufigkeit]]*10</f>
        <v>130</v>
      </c>
      <c r="E21" s="5" t="s">
        <v>32</v>
      </c>
      <c r="F21" s="5" t="s">
        <v>28</v>
      </c>
    </row>
    <row r="22" spans="1:6" x14ac:dyDescent="0.35">
      <c r="A22" s="5">
        <v>1</v>
      </c>
      <c r="B22" s="5">
        <v>5</v>
      </c>
      <c r="C22" s="5">
        <v>11</v>
      </c>
      <c r="D22" s="5">
        <f xml:space="preserve"> Tabelle1[[#This Row],[Häufigkeit]]*10</f>
        <v>110</v>
      </c>
      <c r="E22" s="5" t="s">
        <v>33</v>
      </c>
      <c r="F22" s="5" t="s">
        <v>24</v>
      </c>
    </row>
    <row r="23" spans="1:6" x14ac:dyDescent="0.35">
      <c r="A23" s="5">
        <v>2</v>
      </c>
      <c r="B23" s="5">
        <v>5</v>
      </c>
      <c r="C23" s="5">
        <v>10</v>
      </c>
      <c r="D23" s="5">
        <f xml:space="preserve"> Tabelle1[[#This Row],[Häufigkeit]]*10</f>
        <v>100</v>
      </c>
      <c r="E23" s="5" t="s">
        <v>33</v>
      </c>
      <c r="F23" s="5" t="s">
        <v>25</v>
      </c>
    </row>
    <row r="24" spans="1:6" x14ac:dyDescent="0.35">
      <c r="A24" s="5">
        <v>3</v>
      </c>
      <c r="B24" s="5">
        <v>5</v>
      </c>
      <c r="C24" s="5">
        <v>11</v>
      </c>
      <c r="D24" s="5">
        <f xml:space="preserve"> Tabelle1[[#This Row],[Häufigkeit]]*10</f>
        <v>110</v>
      </c>
      <c r="E24" s="5" t="s">
        <v>33</v>
      </c>
      <c r="F24" s="5" t="s">
        <v>26</v>
      </c>
    </row>
    <row r="25" spans="1:6" x14ac:dyDescent="0.35">
      <c r="A25" s="5">
        <v>4</v>
      </c>
      <c r="B25" s="5">
        <v>5</v>
      </c>
      <c r="C25" s="5">
        <v>10</v>
      </c>
      <c r="D25" s="5">
        <f xml:space="preserve"> Tabelle1[[#This Row],[Häufigkeit]]*10</f>
        <v>100</v>
      </c>
      <c r="E25" s="5" t="s">
        <v>33</v>
      </c>
      <c r="F25" s="5" t="s">
        <v>27</v>
      </c>
    </row>
    <row r="26" spans="1:6" x14ac:dyDescent="0.35">
      <c r="A26" s="5">
        <v>5</v>
      </c>
      <c r="B26" s="5">
        <v>5</v>
      </c>
      <c r="C26" s="5">
        <v>10</v>
      </c>
      <c r="D26" s="5">
        <f xml:space="preserve"> Tabelle1[[#This Row],[Häufigkeit]]*10</f>
        <v>100</v>
      </c>
      <c r="E26" s="5" t="s">
        <v>33</v>
      </c>
      <c r="F26" s="5" t="s">
        <v>28</v>
      </c>
    </row>
    <row r="33" spans="3:5" x14ac:dyDescent="0.35">
      <c r="C33" s="8"/>
      <c r="D33" s="8"/>
      <c r="E33" s="8"/>
    </row>
    <row r="34" spans="3:5" x14ac:dyDescent="0.35">
      <c r="C34" s="5"/>
      <c r="D34" s="5"/>
      <c r="E34" s="5"/>
    </row>
    <row r="35" spans="3:5" x14ac:dyDescent="0.35">
      <c r="C35" s="5"/>
      <c r="D35" s="5"/>
      <c r="E35" s="5"/>
    </row>
    <row r="36" spans="3:5" x14ac:dyDescent="0.35">
      <c r="C36" s="5"/>
      <c r="D36" s="5"/>
      <c r="E36" s="5"/>
    </row>
    <row r="37" spans="3:5" x14ac:dyDescent="0.35">
      <c r="C37" s="5"/>
      <c r="D37" s="5"/>
      <c r="E37" s="5"/>
    </row>
    <row r="38" spans="3:5" x14ac:dyDescent="0.35">
      <c r="C38" s="5"/>
      <c r="D38" s="5"/>
      <c r="E38" s="5"/>
    </row>
    <row r="39" spans="3:5" x14ac:dyDescent="0.35">
      <c r="C39" s="5"/>
      <c r="D39" s="5"/>
      <c r="E39" s="5"/>
    </row>
    <row r="40" spans="3:5" x14ac:dyDescent="0.35">
      <c r="C40" s="5"/>
      <c r="D40" s="5"/>
      <c r="E40" s="5"/>
    </row>
    <row r="41" spans="3:5" x14ac:dyDescent="0.35">
      <c r="C41" s="5"/>
      <c r="D41" s="5"/>
      <c r="E41" s="5"/>
    </row>
    <row r="42" spans="3:5" x14ac:dyDescent="0.35">
      <c r="C42" s="5"/>
      <c r="D42" s="5"/>
      <c r="E42" s="5"/>
    </row>
    <row r="43" spans="3:5" x14ac:dyDescent="0.35">
      <c r="C43" s="5"/>
      <c r="D43" s="5"/>
      <c r="E43" s="5"/>
    </row>
    <row r="44" spans="3:5" x14ac:dyDescent="0.35">
      <c r="C44" s="5"/>
      <c r="D44" s="5"/>
      <c r="E44" s="5"/>
    </row>
    <row r="45" spans="3:5" x14ac:dyDescent="0.35">
      <c r="C45" s="5"/>
      <c r="D45" s="5"/>
      <c r="E45" s="5"/>
    </row>
    <row r="46" spans="3:5" x14ac:dyDescent="0.35">
      <c r="C46" s="5"/>
      <c r="D46" s="5"/>
      <c r="E46" s="5"/>
    </row>
    <row r="47" spans="3:5" x14ac:dyDescent="0.35">
      <c r="C47" s="5"/>
      <c r="D47" s="5"/>
      <c r="E47" s="5"/>
    </row>
    <row r="48" spans="3:5" x14ac:dyDescent="0.35">
      <c r="C48" s="5"/>
      <c r="D48" s="5"/>
      <c r="E48" s="5"/>
    </row>
    <row r="49" spans="3:5" x14ac:dyDescent="0.35">
      <c r="C49" s="5"/>
      <c r="D49" s="5"/>
      <c r="E49" s="5"/>
    </row>
    <row r="50" spans="3:5" x14ac:dyDescent="0.35">
      <c r="C50" s="5"/>
      <c r="D50" s="5"/>
      <c r="E50" s="5"/>
    </row>
    <row r="51" spans="3:5" x14ac:dyDescent="0.35">
      <c r="C51" s="5"/>
      <c r="D51" s="5"/>
      <c r="E51" s="5"/>
    </row>
    <row r="52" spans="3:5" x14ac:dyDescent="0.35">
      <c r="C52" s="5"/>
      <c r="D52" s="5"/>
      <c r="E52" s="5"/>
    </row>
    <row r="53" spans="3:5" x14ac:dyDescent="0.35">
      <c r="C53" s="5"/>
      <c r="D53" s="5"/>
      <c r="E53" s="5"/>
    </row>
    <row r="54" spans="3:5" x14ac:dyDescent="0.35">
      <c r="C54" s="5"/>
      <c r="D54" s="5"/>
      <c r="E54" s="5"/>
    </row>
    <row r="55" spans="3:5" x14ac:dyDescent="0.35">
      <c r="C55" s="5"/>
      <c r="D55" s="5"/>
      <c r="E55" s="5"/>
    </row>
    <row r="56" spans="3:5" x14ac:dyDescent="0.35">
      <c r="C56" s="5"/>
      <c r="D56" s="5"/>
      <c r="E56" s="5"/>
    </row>
    <row r="57" spans="3:5" x14ac:dyDescent="0.35">
      <c r="C57" s="5"/>
      <c r="D57" s="5"/>
      <c r="E57" s="5"/>
    </row>
    <row r="58" spans="3:5" x14ac:dyDescent="0.35">
      <c r="C58" s="5"/>
      <c r="D58" s="5"/>
      <c r="E58" s="5"/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9B60-2E89-4293-8875-39A769A4224F}">
  <dimension ref="A1"/>
  <sheetViews>
    <sheetView workbookViewId="0"/>
  </sheetViews>
  <sheetFormatPr baseColWidth="10" defaultRowHeight="14.5" x14ac:dyDescent="0.35"/>
  <cols>
    <col min="1" max="1" width="30.7265625" customWidth="1"/>
    <col min="2" max="2" width="39" customWidth="1"/>
    <col min="3" max="3" width="37.26953125" customWidth="1"/>
    <col min="4" max="4" width="41.1796875" customWidth="1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Zusammenfassung RQ1</vt:lpstr>
      <vt:lpstr>Ausgangstabelle RQ1</vt:lpstr>
      <vt:lpstr>Mappingtabelle RQ1</vt:lpstr>
      <vt:lpstr>Mappingtabelle RQ1 (2)</vt:lpstr>
      <vt:lpstr>Mapping RQ2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FIXED-TERM Arnold Nils (BD/DIA-MCS)</cp:lastModifiedBy>
  <dcterms:created xsi:type="dcterms:W3CDTF">2025-12-01T11:16:11Z</dcterms:created>
  <dcterms:modified xsi:type="dcterms:W3CDTF">2025-12-03T09:39:04Z</dcterms:modified>
</cp:coreProperties>
</file>