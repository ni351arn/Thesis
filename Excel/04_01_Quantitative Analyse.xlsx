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tables/table4.xml" ContentType="application/vnd.openxmlformats-officedocument.spreadsheetml.tab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4.xml" ContentType="application/vnd.openxmlformats-officedocument.drawing+xml"/>
  <Override PartName="/xl/tables/table5.xml" ContentType="application/vnd.openxmlformats-officedocument.spreadsheetml.tab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102"/>
  <workbookPr/>
  <mc:AlternateContent xmlns:mc="http://schemas.openxmlformats.org/markup-compatibility/2006">
    <mc:Choice Requires="x15">
      <x15ac:absPath xmlns:x15ac="http://schemas.microsoft.com/office/spreadsheetml/2010/11/ac" url="/Users/nilsarnold/Documents/WIN-Studium/7. Semester/BA/Thesis/Excel/"/>
    </mc:Choice>
  </mc:AlternateContent>
  <xr:revisionPtr revIDLastSave="0" documentId="13_ncr:1_{7D310E3C-4A76-9C4B-A6BC-AE3E46C7DAE7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Jahr" sheetId="8" r:id="rId1"/>
    <sheet name="Use cases" sheetId="5" r:id="rId2"/>
    <sheet name="Lernparadigmen" sheetId="10" r:id="rId3"/>
    <sheet name="Algorithmen" sheetId="2" r:id="rId4"/>
    <sheet name="Zeitplan" sheetId="11" r:id="rId5"/>
    <sheet name="Kreuztabelle" sheetId="6" r:id="rId6"/>
    <sheet name="Keywords" sheetId="9" r:id="rId7"/>
    <sheet name="Sonstiges" sheetId="12" r:id="rId8"/>
  </sheets>
  <definedNames>
    <definedName name="_xlnm.Print_Area" localSheetId="4">Zeitplan!$A$1:$D$14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" i="2" l="1"/>
  <c r="B4" i="2"/>
  <c r="B3" i="2"/>
  <c r="B2" i="2"/>
  <c r="F15" i="5"/>
  <c r="F14" i="5"/>
  <c r="F13" i="5"/>
  <c r="F12" i="5"/>
  <c r="F11" i="5"/>
</calcChain>
</file>

<file path=xl/sharedStrings.xml><?xml version="1.0" encoding="utf-8"?>
<sst xmlns="http://schemas.openxmlformats.org/spreadsheetml/2006/main" count="197" uniqueCount="157">
  <si>
    <t>5x</t>
  </si>
  <si>
    <t>7x</t>
  </si>
  <si>
    <t>10x</t>
  </si>
  <si>
    <t>CI/CD / Testing</t>
  </si>
  <si>
    <t>Monitoring / AIOps</t>
  </si>
  <si>
    <t>Kubernetes / Orchestrierung</t>
  </si>
  <si>
    <t>Belegte Paper</t>
  </si>
  <si>
    <t>Häufigkeit</t>
  </si>
  <si>
    <t>Domäne</t>
  </si>
  <si>
    <t>MLOps Tools (Spezifisch)</t>
  </si>
  <si>
    <t>Jahr</t>
  </si>
  <si>
    <t>8x</t>
  </si>
  <si>
    <t>Methode/Algorithmus</t>
  </si>
  <si>
    <t>Deep Learning (DL)</t>
  </si>
  <si>
    <t>Reinforcement Learning (RL)</t>
  </si>
  <si>
    <t>Unsupervised Learning (UL)</t>
  </si>
  <si>
    <t>Supervised Learning (SL)</t>
  </si>
  <si>
    <t>KI-Technologie / Lernparadigma</t>
  </si>
  <si>
    <t>Use Case</t>
  </si>
  <si>
    <t>Lernparadigma</t>
  </si>
  <si>
    <t>CI/CD Automatisierung &amp; Pipeline-Optimierung</t>
  </si>
  <si>
    <t>Ressourcen- &amp; Workload-Optimierung</t>
  </si>
  <si>
    <t>Sicherheits- &amp; Bedrohungserkennung</t>
  </si>
  <si>
    <t>Platform-Engineering  Hauptbereich</t>
  </si>
  <si>
    <t>Platform-Engineering  Sekundärbereiche</t>
  </si>
  <si>
    <t>Resource Allocation</t>
  </si>
  <si>
    <t>Security/ DevSecOps</t>
  </si>
  <si>
    <t>1x</t>
  </si>
  <si>
    <t>2x</t>
  </si>
  <si>
    <t>3x</t>
  </si>
  <si>
    <t>15x</t>
  </si>
  <si>
    <t>19x</t>
  </si>
  <si>
    <t xml:space="preserve">P2, P3, P5, P6, P7, P15, P16, P17, </t>
  </si>
  <si>
    <t xml:space="preserve">P8, P12, P13, </t>
  </si>
  <si>
    <t>P20, P22</t>
  </si>
  <si>
    <t>P18, P19</t>
  </si>
  <si>
    <t>P1, P9, P10, P14, P21</t>
  </si>
  <si>
    <t>P8, P11, P12</t>
  </si>
  <si>
    <t>P11, P13</t>
  </si>
  <si>
    <t>P2, P3, P14, P15, P16</t>
  </si>
  <si>
    <t>P6, P7, P18</t>
  </si>
  <si>
    <t>P2, P7, P11, P14, P18</t>
  </si>
  <si>
    <t>P19</t>
  </si>
  <si>
    <t>P1, P4, P5, P6, P11, P11, P19</t>
  </si>
  <si>
    <t>P1, P4, P9, P10, P13, P16, P20</t>
  </si>
  <si>
    <t>P1, P4, P5, P9, P10, P17, P20, P21</t>
  </si>
  <si>
    <t>P1, P2, P3, P4, P5, P9, P10, P11, P14, P15, P16, P17,  P18, P19, P20, P21</t>
  </si>
  <si>
    <t>P1,  P2, P3, P4, P5, P6, P7, P8, P10, P11, P11, P12, P14, P15, P17, P18, P20, P21</t>
  </si>
  <si>
    <t>P2, P4, P5, P6, P11, P14, P16, P17, P18, P21</t>
  </si>
  <si>
    <t>Clustering</t>
  </si>
  <si>
    <t>P12</t>
  </si>
  <si>
    <t>Deep Learning / Neuronale Netze</t>
  </si>
  <si>
    <t>Ensemble &amp; Baum-basiert</t>
  </si>
  <si>
    <t>P1, P3, P8, P11,  P12, P14, P20</t>
  </si>
  <si>
    <t>Herausforderung</t>
  </si>
  <si>
    <t>Integrationskomplexität &amp; Vendor Lock-in</t>
  </si>
  <si>
    <t>Nicht angesprochen</t>
  </si>
  <si>
    <t>Ressourcenverbrauch &amp; Kosten</t>
  </si>
  <si>
    <t>Skalierbarkeit, Latenz &amp; Monitoring</t>
  </si>
  <si>
    <t xml:space="preserve">AI Governance &amp; Security </t>
  </si>
  <si>
    <t xml:space="preserve">Datenmanagement &amp; Qualität </t>
  </si>
  <si>
    <t>P5, P15</t>
  </si>
  <si>
    <t>P7, P13</t>
  </si>
  <si>
    <t>P3, P4, P5, P7, P8, P13</t>
  </si>
  <si>
    <t>Journal</t>
  </si>
  <si>
    <t>Conference</t>
  </si>
  <si>
    <t>Arxiv</t>
  </si>
  <si>
    <t>Whitepaper</t>
  </si>
  <si>
    <t>Klassische Klassifikation/ regression</t>
  </si>
  <si>
    <t xml:space="preserve">Clustering </t>
  </si>
  <si>
    <t>Keywords</t>
  </si>
  <si>
    <t>AI/ML, Artificial Intelligence, Machine Learning, DevOps automation, Kubernetes Cluster, Cloud-native architecture, predictive modeling, containerization, MLOps, microservices, real-time inference, serverless computing, Artificial Intelligence, Predictive Modelling, Continuous Integration, Continuous Deploymen,  DevOps Efficiency, CI/CD Optimization, AI-Based Threat Detection, Cloud Security, Cybersecurity Architecture, Anomaly Detection, Machine Learning in Cybersecurity, Real-Time Threat Mitigation, AWS, EC2, LSTM, RDS, SDK, AI-enhanced CI/CD pipelines, predictive  failure detection, automated rollbacks,  adaptive deployment strategies, machine  learning, agile software development,  continuous integration, continuous  deployment, predictive models, software  reliability, AI-driven applications, cloud-native architecture, microservices, containerization, generative AI tools, resource management, observability, real-time data processing, databases, security, CI/CD pipelines, automated code generation, AI integration, Artificial Intelligence, DevOps, Continuous Integration (CI), Continuous Delivery (CD), Automation, Infrastructural Management, Decision tree, Random Forest, IDS, Boosting, classification, CI/CD, DevOps, machine learning, MLOps, operations, workflow orchestration, MLOps, cloud-native, data pipeline, machine learning, AI in DevOps, cloud automation, machine learning in DevOps, Azure DevOps, AI-driven software development, Cloud-native    architectures,    machine    learning,    cloud-first infrastructures, AI-driven decision-making, scalability, cost-efficiency, statistical analysis, real-time inference, Kubernetes Automation, Machine Learning Operations (MLOps), Cloud Infrastructure Management, Predictive Maintenance, Container Orchestration Intelligence, Cloud, AI, Machine Learning, Deployment, Reinforcement Learning, CI/CD Pipeline, Cybersecurity Risk, Test Optimization, DevSecOps, Threat Modeling, Security Automation, Secure Software Deployment, Forecasting, Machine Learning, Operations, Platform econometrics, Streaming  data, Workflow automation, IoT, Edge Intelligence, Machine Learning, MLOps, Cloud-native architectures, machine learning workflows, serverless computing, data engineering, scalability, inference latency, cost optimization, microservices, AI deployment, automation</t>
  </si>
  <si>
    <t>Automatische Fehlererkennung &amp; Systemstabilität</t>
  </si>
  <si>
    <t xml:space="preserve">Einsatz in verteilen oder leichtgewichtigen Umgebungen (Serveless Deployment) </t>
  </si>
  <si>
    <t xml:space="preserve">Verteilte oder leichtgewichtige Umgebungen (Serveless Deployment) </t>
  </si>
  <si>
    <t>Explizit Paper</t>
  </si>
  <si>
    <t>Implizit Paper</t>
  </si>
  <si>
    <t>P3, P12, P14</t>
  </si>
  <si>
    <t>Klassische Klassifikation/ Regression</t>
  </si>
  <si>
    <r>
      <t>Woche</t>
    </r>
    <r>
      <rPr>
        <sz val="11"/>
        <color rgb="FF000000"/>
        <rFont val="Arial"/>
        <family val="2"/>
      </rPr>
      <t> </t>
    </r>
  </si>
  <si>
    <r>
      <t>Zeitraum</t>
    </r>
    <r>
      <rPr>
        <sz val="11"/>
        <color rgb="FF000000"/>
        <rFont val="Arial"/>
        <family val="2"/>
      </rPr>
      <t> </t>
    </r>
  </si>
  <si>
    <r>
      <t>ToDo</t>
    </r>
    <r>
      <rPr>
        <sz val="11"/>
        <color rgb="FF000000"/>
        <rFont val="Arial"/>
        <family val="2"/>
      </rPr>
      <t> </t>
    </r>
  </si>
  <si>
    <r>
      <t>Info</t>
    </r>
    <r>
      <rPr>
        <sz val="11"/>
        <color rgb="FF000000"/>
        <rFont val="Arial"/>
        <family val="2"/>
      </rPr>
      <t> </t>
    </r>
  </si>
  <si>
    <r>
      <t>Woche 1</t>
    </r>
    <r>
      <rPr>
        <sz val="11"/>
        <color rgb="FF000000"/>
        <rFont val="Arial"/>
        <family val="2"/>
      </rPr>
      <t> </t>
    </r>
  </si>
  <si>
    <t>03. Nov </t>
  </si>
  <si>
    <t>Suchstrings finalisieren, Basispaper prüfen </t>
  </si>
  <si>
    <t>Mapping Study Start gemäß Petersen/Wohlin </t>
  </si>
  <si>
    <r>
      <t>Woche 2</t>
    </r>
    <r>
      <rPr>
        <sz val="11"/>
        <color rgb="FF000000"/>
        <rFont val="Arial"/>
        <family val="2"/>
      </rPr>
      <t> </t>
    </r>
  </si>
  <si>
    <t>10. Nov </t>
  </si>
  <si>
    <t>Paper-Sichtung &amp; erste Datenextraktion </t>
  </si>
  <si>
    <t>Datenextraktion nach Tabelle 3.2 </t>
  </si>
  <si>
    <r>
      <t>Woche 3</t>
    </r>
    <r>
      <rPr>
        <sz val="11"/>
        <color rgb="FF000000"/>
        <rFont val="Arial"/>
        <family val="2"/>
      </rPr>
      <t> </t>
    </r>
  </si>
  <si>
    <t>17. Nov </t>
  </si>
  <si>
    <t>Paper-Analyse fortsetzen, Extraktion vervollständigen </t>
  </si>
  <si>
    <t>Analyse der KI-Ansätze </t>
  </si>
  <si>
    <r>
      <t>Woche 4</t>
    </r>
    <r>
      <rPr>
        <sz val="11"/>
        <color rgb="FF000000"/>
        <rFont val="Arial"/>
        <family val="2"/>
      </rPr>
      <t> </t>
    </r>
  </si>
  <si>
    <t>24. Nov </t>
  </si>
  <si>
    <t>Datenextraktion abschließen, Kategorien bilden </t>
  </si>
  <si>
    <t>Kategorien gemäß Platform-Engineering-Bereichen </t>
  </si>
  <si>
    <r>
      <t>Woche 5</t>
    </r>
    <r>
      <rPr>
        <sz val="11"/>
        <color rgb="FF000000"/>
        <rFont val="Arial"/>
        <family val="2"/>
      </rPr>
      <t> </t>
    </r>
  </si>
  <si>
    <t>01. Dez </t>
  </si>
  <si>
    <t>Datensynthese vorbereiten </t>
  </si>
  <si>
    <t>Synthesis entlang RQs </t>
  </si>
  <si>
    <r>
      <t>Woche 6</t>
    </r>
    <r>
      <rPr>
        <sz val="11"/>
        <color rgb="FF000000"/>
        <rFont val="Arial"/>
        <family val="2"/>
      </rPr>
      <t> </t>
    </r>
  </si>
  <si>
    <t>08. Dez </t>
  </si>
  <si>
    <t>Quantitative Analyse erstellen </t>
  </si>
  <si>
    <t>Statistische Übersicht erstellen </t>
  </si>
  <si>
    <r>
      <t>Woche 7</t>
    </r>
    <r>
      <rPr>
        <sz val="11"/>
        <color rgb="FF000000"/>
        <rFont val="Arial"/>
        <family val="2"/>
      </rPr>
      <t> </t>
    </r>
  </si>
  <si>
    <t>15. Dez </t>
  </si>
  <si>
    <t>Mapping Study Kapitel schreiben </t>
  </si>
  <si>
    <t>Kapitel 4 ausformulieren </t>
  </si>
  <si>
    <r>
      <t>Woche 8</t>
    </r>
    <r>
      <rPr>
        <sz val="11"/>
        <color rgb="FF000000"/>
        <rFont val="Arial"/>
        <family val="2"/>
      </rPr>
      <t> </t>
    </r>
  </si>
  <si>
    <t>22. Dez </t>
  </si>
  <si>
    <t>Mapping Study finalisieren </t>
  </si>
  <si>
    <t>Review + Konsistenzcheck </t>
  </si>
  <si>
    <r>
      <t>Woche 9</t>
    </r>
    <r>
      <rPr>
        <sz val="11"/>
        <color rgb="FF000000"/>
        <rFont val="Arial"/>
        <family val="2"/>
      </rPr>
      <t> </t>
    </r>
  </si>
  <si>
    <t>29. Dez </t>
  </si>
  <si>
    <t>Start Framework-Konzeption (Kriterien sammeln) </t>
  </si>
  <si>
    <t>RQ3 Beginn </t>
  </si>
  <si>
    <r>
      <t>Woche 10</t>
    </r>
    <r>
      <rPr>
        <sz val="11"/>
        <color rgb="FF000000"/>
        <rFont val="Arial"/>
        <family val="2"/>
      </rPr>
      <t> </t>
    </r>
  </si>
  <si>
    <t>05. Jan </t>
  </si>
  <si>
    <t xml:space="preserve">Framework strukturieren </t>
  </si>
  <si>
    <t>Kriterien definieren</t>
  </si>
  <si>
    <r>
      <t>Woche 11</t>
    </r>
    <r>
      <rPr>
        <sz val="11"/>
        <color rgb="FF000000"/>
        <rFont val="Arial"/>
        <family val="2"/>
      </rPr>
      <t> </t>
    </r>
  </si>
  <si>
    <t>12. Jan </t>
  </si>
  <si>
    <t>Framework ausarbeiten </t>
  </si>
  <si>
    <t>Kapitel 5 schreiben </t>
  </si>
  <si>
    <r>
      <t>Woche 12</t>
    </r>
    <r>
      <rPr>
        <sz val="11"/>
        <color rgb="FF000000"/>
        <rFont val="Arial"/>
        <family val="2"/>
      </rPr>
      <t> </t>
    </r>
  </si>
  <si>
    <t>19. Jan </t>
  </si>
  <si>
    <t>Diskussion + Beantwortung RQs schreiben </t>
  </si>
  <si>
    <t>Kapitel 6 </t>
  </si>
  <si>
    <r>
      <t>Woche 13</t>
    </r>
    <r>
      <rPr>
        <sz val="11"/>
        <color rgb="FF000000"/>
        <rFont val="Arial"/>
        <family val="2"/>
      </rPr>
      <t> </t>
    </r>
  </si>
  <si>
    <t>26. Jan </t>
  </si>
  <si>
    <t xml:space="preserve">Feinschliff, Zusammenfassung  und Ausblick </t>
  </si>
  <si>
    <t xml:space="preserve">BA finalisieren </t>
  </si>
  <si>
    <t>Optimierung von CI/CD-Pipelines</t>
  </si>
  <si>
    <t xml:space="preserve">Integrationskomplexität &amp; Abhängigkeiten </t>
  </si>
  <si>
    <t xml:space="preserve">Datenqualität, Datenverfügbarkeit und Heterogenität </t>
  </si>
  <si>
    <t>Erwähnt</t>
  </si>
  <si>
    <t>P11, P19</t>
  </si>
  <si>
    <t>P3, P4, P6, P12, P14, P18</t>
  </si>
  <si>
    <t>P1, P4, P13, P16</t>
  </si>
  <si>
    <t>P3, P10, P11, P12, P14, P17, P19</t>
  </si>
  <si>
    <t>Explizit = klar benannt und beschrieben</t>
  </si>
  <si>
    <t>Implizit = über Algorithmen oder Mechanismen identifizierbar</t>
  </si>
  <si>
    <t>Erwähnt = lediglich erwähnt, ohne inhaltliche Ausführung</t>
  </si>
  <si>
    <t xml:space="preserve">Betrieb &amp; Orchestrierung </t>
  </si>
  <si>
    <t xml:space="preserve">P5 </t>
  </si>
  <si>
    <t>17/18</t>
  </si>
  <si>
    <t>15/18</t>
  </si>
  <si>
    <t>P1, P2, P8, P9, P13, P15,  P16, P17, P20, P21</t>
  </si>
  <si>
    <t>P2,  P8, P11, P15, P17, P20, P21</t>
  </si>
  <si>
    <t>P1, P2, P3, P4, P5, P8, P10, P11, P12, P13, P14, P15, P16, P17, P19, P20</t>
  </si>
  <si>
    <t>P3, P4, P8, P9, P10, P14, P19, P20</t>
  </si>
  <si>
    <t>P3, P4, P8, P12, P14, P20</t>
  </si>
  <si>
    <t>13/18</t>
  </si>
  <si>
    <t xml:space="preserve">KI-Governance, Datenschutz und Compliance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</si>
</sst>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1"/>
      <color rgb="FF000000"/>
      <name val="Arial"/>
      <family val="2"/>
    </font>
    <font>
      <sz val="11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theme="0" tint="-0.14999847407452621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A3A3A3"/>
      </left>
      <right style="medium">
        <color rgb="FFA3A3A3"/>
      </right>
      <top style="medium">
        <color rgb="FFA3A3A3"/>
      </top>
      <bottom style="medium">
        <color rgb="FFA3A3A3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54">
    <xf numFmtId="0" fontId="0" fillId="0" borderId="0" xfId="0"/>
    <xf numFmtId="0" fontId="2" fillId="0" borderId="1" xfId="0" applyFont="1" applyBorder="1" applyAlignment="1">
      <alignment vertical="top" wrapText="1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1" fillId="0" borderId="1" xfId="0" applyFont="1" applyBorder="1"/>
    <xf numFmtId="0" fontId="1" fillId="0" borderId="1" xfId="0" applyFont="1" applyBorder="1" applyAlignment="1">
      <alignment vertical="top"/>
    </xf>
    <xf numFmtId="0" fontId="0" fillId="0" borderId="1" xfId="0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vertical="top" wrapText="1"/>
    </xf>
    <xf numFmtId="0" fontId="2" fillId="0" borderId="0" xfId="0" applyFont="1" applyAlignment="1">
      <alignment vertical="top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vertical="top"/>
    </xf>
    <xf numFmtId="0" fontId="3" fillId="0" borderId="0" xfId="0" applyFont="1" applyAlignment="1">
      <alignment vertical="top" wrapText="1"/>
    </xf>
    <xf numFmtId="0" fontId="0" fillId="0" borderId="1" xfId="0" applyBorder="1" applyAlignment="1">
      <alignment wrapText="1"/>
    </xf>
    <xf numFmtId="0" fontId="4" fillId="0" borderId="0" xfId="0" applyFont="1" applyAlignment="1">
      <alignment vertical="top" wrapText="1"/>
    </xf>
    <xf numFmtId="0" fontId="4" fillId="0" borderId="1" xfId="0" applyFont="1" applyBorder="1" applyAlignment="1">
      <alignment vertical="top" wrapText="1"/>
    </xf>
    <xf numFmtId="0" fontId="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vertical="top" wrapText="1"/>
    </xf>
    <xf numFmtId="0" fontId="0" fillId="0" borderId="3" xfId="0" applyBorder="1"/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top" wrapText="1"/>
    </xf>
    <xf numFmtId="0" fontId="4" fillId="0" borderId="8" xfId="0" applyFont="1" applyBorder="1" applyAlignment="1">
      <alignment vertical="top" wrapText="1"/>
    </xf>
    <xf numFmtId="0" fontId="0" fillId="0" borderId="8" xfId="0" applyBorder="1"/>
    <xf numFmtId="0" fontId="0" fillId="0" borderId="9" xfId="0" applyBorder="1"/>
    <xf numFmtId="0" fontId="5" fillId="0" borderId="1" xfId="0" applyFont="1" applyBorder="1" applyAlignment="1">
      <alignment vertical="top" wrapText="1"/>
    </xf>
    <xf numFmtId="0" fontId="0" fillId="0" borderId="0" xfId="0" applyAlignment="1">
      <alignment vertical="top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horizontal="center" vertical="top" wrapText="1"/>
    </xf>
    <xf numFmtId="0" fontId="1" fillId="0" borderId="4" xfId="0" applyFont="1" applyBorder="1" applyAlignment="1">
      <alignment horizontal="center" vertical="top" wrapText="1"/>
    </xf>
    <xf numFmtId="0" fontId="1" fillId="0" borderId="6" xfId="0" applyFont="1" applyBorder="1" applyAlignment="1">
      <alignment horizontal="center" vertical="top" wrapText="1"/>
    </xf>
    <xf numFmtId="0" fontId="0" fillId="0" borderId="7" xfId="0" applyBorder="1" applyAlignment="1">
      <alignment vertical="top" wrapText="1"/>
    </xf>
    <xf numFmtId="0" fontId="0" fillId="0" borderId="9" xfId="0" applyBorder="1" applyAlignment="1">
      <alignment horizontal="center" vertical="top" wrapText="1"/>
    </xf>
    <xf numFmtId="0" fontId="2" fillId="0" borderId="2" xfId="0" applyFont="1" applyBorder="1" applyAlignment="1">
      <alignment vertical="top" wrapText="1"/>
    </xf>
    <xf numFmtId="0" fontId="1" fillId="0" borderId="4" xfId="0" applyFont="1" applyBorder="1"/>
    <xf numFmtId="0" fontId="1" fillId="0" borderId="6" xfId="0" applyFont="1" applyBorder="1"/>
    <xf numFmtId="0" fontId="2" fillId="0" borderId="7" xfId="0" applyFont="1" applyBorder="1" applyAlignment="1">
      <alignment vertical="top" wrapText="1"/>
    </xf>
    <xf numFmtId="9" fontId="0" fillId="0" borderId="3" xfId="1" applyFont="1" applyBorder="1"/>
    <xf numFmtId="9" fontId="0" fillId="0" borderId="9" xfId="1" applyFont="1" applyBorder="1"/>
    <xf numFmtId="0" fontId="7" fillId="0" borderId="10" xfId="0" applyFont="1" applyBorder="1" applyAlignment="1">
      <alignment horizontal="left" vertical="top" wrapText="1" readingOrder="1"/>
    </xf>
    <xf numFmtId="0" fontId="8" fillId="0" borderId="10" xfId="0" applyFont="1" applyBorder="1" applyAlignment="1">
      <alignment horizontal="left" vertical="top" wrapText="1" readingOrder="1"/>
    </xf>
    <xf numFmtId="9" fontId="2" fillId="0" borderId="3" xfId="1" applyFont="1" applyBorder="1" applyAlignment="1">
      <alignment horizontal="center" vertical="top" wrapText="1"/>
    </xf>
    <xf numFmtId="9" fontId="2" fillId="0" borderId="9" xfId="1" applyFont="1" applyBorder="1" applyAlignment="1">
      <alignment horizontal="center" vertical="top" wrapText="1"/>
    </xf>
    <xf numFmtId="0" fontId="0" fillId="2" borderId="1" xfId="0" applyFill="1" applyBorder="1" applyAlignment="1">
      <alignment vertical="top" wrapText="1"/>
    </xf>
    <xf numFmtId="0" fontId="3" fillId="0" borderId="11" xfId="0" applyFont="1" applyBorder="1" applyAlignment="1">
      <alignment vertical="top" wrapText="1"/>
    </xf>
    <xf numFmtId="0" fontId="3" fillId="0" borderId="12" xfId="0" applyFont="1" applyBorder="1" applyAlignment="1">
      <alignment vertical="top" wrapText="1"/>
    </xf>
    <xf numFmtId="0" fontId="3" fillId="0" borderId="13" xfId="0" applyFont="1" applyBorder="1" applyAlignment="1">
      <alignment vertical="top" wrapText="1"/>
    </xf>
    <xf numFmtId="0" fontId="3" fillId="0" borderId="1" xfId="0" applyFont="1" applyBorder="1" applyAlignment="1">
      <alignment vertical="top" wrapText="1"/>
    </xf>
    <xf numFmtId="0" fontId="3" fillId="0" borderId="5" xfId="0" applyFont="1" applyBorder="1" applyAlignment="1">
      <alignment vertical="top" wrapText="1"/>
    </xf>
    <xf numFmtId="0" fontId="0" fillId="0" borderId="0" xfId="0" applyAlignment="1">
      <alignment horizontal="center" vertical="top" wrapText="1"/>
    </xf>
  </cellXfs>
  <cellStyles count="2">
    <cellStyle name="Prozent" xfId="1" builtinId="5"/>
    <cellStyle name="Standard" xfId="0" builtinId="0"/>
  </cellStyles>
  <dxfs count="3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medium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alignment horizontal="center" vertical="top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alignment horizontal="general" vertical="top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colors>
    <mruColors>
      <color rgb="FFB2BFCE"/>
      <color rgb="FF66D0C6"/>
      <color rgb="FF00B1A0"/>
      <color rgb="FF334152"/>
      <color rgb="FF546B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Publikationen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Jahr!$B$1</c:f>
              <c:strCache>
                <c:ptCount val="1"/>
                <c:pt idx="0">
                  <c:v>Journal</c:v>
                </c:pt>
              </c:strCache>
            </c:strRef>
          </c:tx>
          <c:spPr>
            <a:solidFill>
              <a:srgbClr val="66D0C6"/>
            </a:solidFill>
            <a:ln>
              <a:noFill/>
            </a:ln>
            <a:effectLst/>
          </c:spPr>
          <c:invertIfNegative val="0"/>
          <c:cat>
            <c:numRef>
              <c:f>Jahr!$A$2:$A$6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Jahr!$B$2:$B$6</c:f>
              <c:numCache>
                <c:formatCode>General</c:formatCode>
                <c:ptCount val="5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5</c:v>
                </c:pt>
                <c:pt idx="4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93-46D5-8007-BCCB56B1489E}"/>
            </c:ext>
          </c:extLst>
        </c:ser>
        <c:ser>
          <c:idx val="2"/>
          <c:order val="1"/>
          <c:tx>
            <c:strRef>
              <c:f>Jahr!$C$1</c:f>
              <c:strCache>
                <c:ptCount val="1"/>
                <c:pt idx="0">
                  <c:v>Conference</c:v>
                </c:pt>
              </c:strCache>
            </c:strRef>
          </c:tx>
          <c:spPr>
            <a:solidFill>
              <a:srgbClr val="B2BFCE"/>
            </a:solidFill>
            <a:ln>
              <a:noFill/>
            </a:ln>
            <a:effectLst/>
          </c:spPr>
          <c:invertIfNegative val="0"/>
          <c:cat>
            <c:numRef>
              <c:f>Jahr!$A$2:$A$6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Jahr!$C$2:$C$6</c:f>
              <c:numCache>
                <c:formatCode>General</c:formatCode>
                <c:ptCount val="5"/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693-46D5-8007-BCCB56B1489E}"/>
            </c:ext>
          </c:extLst>
        </c:ser>
        <c:ser>
          <c:idx val="3"/>
          <c:order val="2"/>
          <c:tx>
            <c:strRef>
              <c:f>Jahr!$D$1</c:f>
              <c:strCache>
                <c:ptCount val="1"/>
                <c:pt idx="0">
                  <c:v>Arxiv</c:v>
                </c:pt>
              </c:strCache>
            </c:strRef>
          </c:tx>
          <c:spPr>
            <a:solidFill>
              <a:srgbClr val="546B86"/>
            </a:solidFill>
            <a:ln>
              <a:noFill/>
            </a:ln>
            <a:effectLst/>
          </c:spPr>
          <c:invertIfNegative val="0"/>
          <c:cat>
            <c:numRef>
              <c:f>Jahr!$A$2:$A$6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Jahr!$D$2:$D$6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693-46D5-8007-BCCB56B1489E}"/>
            </c:ext>
          </c:extLst>
        </c:ser>
        <c:ser>
          <c:idx val="4"/>
          <c:order val="3"/>
          <c:tx>
            <c:strRef>
              <c:f>Jahr!$E$1</c:f>
              <c:strCache>
                <c:ptCount val="1"/>
                <c:pt idx="0">
                  <c:v>Whitepaper</c:v>
                </c:pt>
              </c:strCache>
            </c:strRef>
          </c:tx>
          <c:spPr>
            <a:solidFill>
              <a:srgbClr val="334152"/>
            </a:solidFill>
            <a:ln>
              <a:noFill/>
            </a:ln>
            <a:effectLst/>
          </c:spPr>
          <c:invertIfNegative val="0"/>
          <c:cat>
            <c:numRef>
              <c:f>Jahr!$A$2:$A$6</c:f>
              <c:numCache>
                <c:formatCode>General</c:formatCode>
                <c:ptCount val="5"/>
                <c:pt idx="0">
                  <c:v>2021</c:v>
                </c:pt>
                <c:pt idx="1">
                  <c:v>2022</c:v>
                </c:pt>
                <c:pt idx="2">
                  <c:v>2023</c:v>
                </c:pt>
                <c:pt idx="3">
                  <c:v>2024</c:v>
                </c:pt>
                <c:pt idx="4">
                  <c:v>2025</c:v>
                </c:pt>
              </c:numCache>
            </c:numRef>
          </c:cat>
          <c:val>
            <c:numRef>
              <c:f>Jahr!$E$2:$E$6</c:f>
              <c:numCache>
                <c:formatCode>General</c:formatCode>
                <c:ptCount val="5"/>
                <c:pt idx="3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693-46D5-8007-BCCB56B148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64677199"/>
        <c:axId val="809469727"/>
      </c:barChart>
      <c:catAx>
        <c:axId val="9646771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809469727"/>
        <c:crosses val="autoZero"/>
        <c:auto val="1"/>
        <c:lblAlgn val="ctr"/>
        <c:lblOffset val="100"/>
        <c:noMultiLvlLbl val="0"/>
      </c:catAx>
      <c:valAx>
        <c:axId val="80946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646771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Relative Häufigkeit identifizierter Herausforderungen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'Use cases'!$F$10</c:f>
              <c:strCache>
                <c:ptCount val="1"/>
                <c:pt idx="0">
                  <c:v>Häufigkeit</c:v>
                </c:pt>
              </c:strCache>
            </c:strRef>
          </c:tx>
          <c:spPr>
            <a:solidFill>
              <a:srgbClr val="66D0C6"/>
            </a:solidFill>
            <a:ln>
              <a:noFill/>
            </a:ln>
            <a:effectLst/>
          </c:spPr>
          <c:invertIfNegative val="0"/>
          <c:cat>
            <c:strRef>
              <c:f>'Use cases'!$E$11:$E$15</c:f>
              <c:strCache>
                <c:ptCount val="5"/>
                <c:pt idx="0">
                  <c:v>Ressourcenverbrauch &amp; Kosten</c:v>
                </c:pt>
                <c:pt idx="1">
                  <c:v>Skalierbarkeit, Latenz &amp; Monitoring</c:v>
                </c:pt>
                <c:pt idx="2">
                  <c:v>KI-Governance, Datenschutz und Compliance </c:v>
                </c:pt>
                <c:pt idx="3">
                  <c:v>Integrationskomplexität &amp; Abhängigkeiten </c:v>
                </c:pt>
                <c:pt idx="4">
                  <c:v>Datenqualität, Datenverfügbarkeit und Heterogenität </c:v>
                </c:pt>
              </c:strCache>
            </c:strRef>
          </c:cat>
          <c:val>
            <c:numRef>
              <c:f>'Use cases'!$F$11:$F$15</c:f>
              <c:numCache>
                <c:formatCode>0%</c:formatCode>
                <c:ptCount val="5"/>
                <c:pt idx="0">
                  <c:v>0.94444444444444442</c:v>
                </c:pt>
                <c:pt idx="1">
                  <c:v>0.83333333333333337</c:v>
                </c:pt>
                <c:pt idx="2">
                  <c:v>0.83333333333333337</c:v>
                </c:pt>
                <c:pt idx="3">
                  <c:v>0.77777777777777779</c:v>
                </c:pt>
                <c:pt idx="4">
                  <c:v>0.72222222222222221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2F5-4FA2-9428-33F0A3F650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950659520"/>
        <c:axId val="1950657600"/>
      </c:barChart>
      <c:catAx>
        <c:axId val="195065952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0657600"/>
        <c:crosses val="autoZero"/>
        <c:auto val="1"/>
        <c:lblAlgn val="ctr"/>
        <c:lblOffset val="100"/>
        <c:noMultiLvlLbl val="0"/>
      </c:catAx>
      <c:valAx>
        <c:axId val="1950657600"/>
        <c:scaling>
          <c:orientation val="minMax"/>
          <c:max val="1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0659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Verteilung der Anwendungsbereiche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'Use cases'!$F$1</c:f>
              <c:strCache>
                <c:ptCount val="1"/>
                <c:pt idx="0">
                  <c:v>Häufigkeit</c:v>
                </c:pt>
              </c:strCache>
            </c:strRef>
          </c:tx>
          <c:dPt>
            <c:idx val="0"/>
            <c:bubble3D val="0"/>
            <c:spPr>
              <a:solidFill>
                <a:srgbClr val="B2BFCE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501-4B2E-91D3-558D5FBFB45B}"/>
              </c:ext>
            </c:extLst>
          </c:dPt>
          <c:dPt>
            <c:idx val="1"/>
            <c:bubble3D val="0"/>
            <c:spPr>
              <a:solidFill>
                <a:srgbClr val="546B8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501-4B2E-91D3-558D5FBFB45B}"/>
              </c:ext>
            </c:extLst>
          </c:dPt>
          <c:dPt>
            <c:idx val="2"/>
            <c:bubble3D val="0"/>
            <c:spPr>
              <a:solidFill>
                <a:srgbClr val="33415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3501-4B2E-91D3-558D5FBFB45B}"/>
              </c:ext>
            </c:extLst>
          </c:dPt>
          <c:dPt>
            <c:idx val="3"/>
            <c:bubble3D val="0"/>
            <c:spPr>
              <a:solidFill>
                <a:srgbClr val="66D0C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3501-4B2E-91D3-558D5FBFB45B}"/>
              </c:ext>
            </c:extLst>
          </c:dPt>
          <c:cat>
            <c:strRef>
              <c:f>'Use cases'!$E$2:$E$5</c:f>
              <c:strCache>
                <c:ptCount val="4"/>
                <c:pt idx="0">
                  <c:v>Optimierung von CI/CD-Pipelines</c:v>
                </c:pt>
                <c:pt idx="1">
                  <c:v>Ressourcen- &amp; Workload-Optimierung</c:v>
                </c:pt>
                <c:pt idx="2">
                  <c:v>Sicherheits- &amp; Bedrohungserkennung</c:v>
                </c:pt>
                <c:pt idx="3">
                  <c:v>Betrieb &amp; Orchestrierung </c:v>
                </c:pt>
              </c:strCache>
            </c:strRef>
          </c:cat>
          <c:val>
            <c:numRef>
              <c:f>'Use cases'!$F$2:$F$5</c:f>
              <c:numCache>
                <c:formatCode>General</c:formatCode>
                <c:ptCount val="4"/>
                <c:pt idx="0">
                  <c:v>3</c:v>
                </c:pt>
                <c:pt idx="1">
                  <c:v>7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9D-4969-B71A-FB59B7DCCF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Formen</a:t>
            </a:r>
            <a:r>
              <a:rPr lang="en-US" sz="1400" b="0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des maschinellen Lernens</a:t>
            </a:r>
            <a:endParaRPr lang="en-US" sz="1400" b="0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Lernparadigmen!$B$1</c:f>
              <c:strCache>
                <c:ptCount val="1"/>
                <c:pt idx="0">
                  <c:v>Explizit = klar benannt und beschrieben</c:v>
                </c:pt>
              </c:strCache>
            </c:strRef>
          </c:tx>
          <c:spPr>
            <a:solidFill>
              <a:srgbClr val="334152"/>
            </a:solidFill>
            <a:ln>
              <a:noFill/>
            </a:ln>
            <a:effectLst/>
          </c:spPr>
          <c:invertIfNegative val="0"/>
          <c:cat>
            <c:strRef>
              <c:f>Lernparadigmen!$A$2:$A$4</c:f>
              <c:strCache>
                <c:ptCount val="3"/>
                <c:pt idx="0">
                  <c:v>Supervised Learning (SL)</c:v>
                </c:pt>
                <c:pt idx="1">
                  <c:v>Unsupervised Learning (UL)</c:v>
                </c:pt>
                <c:pt idx="2">
                  <c:v>Reinforcement Learning (RL)</c:v>
                </c:pt>
              </c:strCache>
            </c:strRef>
          </c:cat>
          <c:val>
            <c:numRef>
              <c:f>Lernparadigmen!$B$2:$B$4</c:f>
              <c:numCache>
                <c:formatCode>General</c:formatCode>
                <c:ptCount val="3"/>
                <c:pt idx="0">
                  <c:v>4</c:v>
                </c:pt>
                <c:pt idx="1">
                  <c:v>3</c:v>
                </c:pt>
                <c:pt idx="2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0F-440F-95BF-9EB6C8338D88}"/>
            </c:ext>
          </c:extLst>
        </c:ser>
        <c:ser>
          <c:idx val="1"/>
          <c:order val="1"/>
          <c:tx>
            <c:strRef>
              <c:f>Lernparadigmen!$C$1</c:f>
              <c:strCache>
                <c:ptCount val="1"/>
                <c:pt idx="0">
                  <c:v>Implizit = über Algorithmen oder Mechanismen identifizierbar</c:v>
                </c:pt>
              </c:strCache>
            </c:strRef>
          </c:tx>
          <c:spPr>
            <a:solidFill>
              <a:srgbClr val="66D0C6"/>
            </a:solidFill>
            <a:ln>
              <a:noFill/>
            </a:ln>
            <a:effectLst/>
          </c:spPr>
          <c:invertIfNegative val="0"/>
          <c:cat>
            <c:strRef>
              <c:f>Lernparadigmen!$A$2:$A$4</c:f>
              <c:strCache>
                <c:ptCount val="3"/>
                <c:pt idx="0">
                  <c:v>Supervised Learning (SL)</c:v>
                </c:pt>
                <c:pt idx="1">
                  <c:v>Unsupervised Learning (UL)</c:v>
                </c:pt>
                <c:pt idx="2">
                  <c:v>Reinforcement Learning (RL)</c:v>
                </c:pt>
              </c:strCache>
            </c:strRef>
          </c:cat>
          <c:val>
            <c:numRef>
              <c:f>Lernparadigmen!$C$2:$C$4</c:f>
              <c:numCache>
                <c:formatCode>General</c:formatCode>
                <c:ptCount val="3"/>
                <c:pt idx="0">
                  <c:v>11</c:v>
                </c:pt>
                <c:pt idx="1">
                  <c:v>7</c:v>
                </c:pt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0F-440F-95BF-9EB6C8338D88}"/>
            </c:ext>
          </c:extLst>
        </c:ser>
        <c:ser>
          <c:idx val="2"/>
          <c:order val="2"/>
          <c:tx>
            <c:strRef>
              <c:f>Lernparadigmen!$D$1</c:f>
              <c:strCache>
                <c:ptCount val="1"/>
                <c:pt idx="0">
                  <c:v>Erwähnt = lediglich erwähnt, ohne inhaltliche Ausführung</c:v>
                </c:pt>
              </c:strCache>
            </c:strRef>
          </c:tx>
          <c:spPr>
            <a:solidFill>
              <a:srgbClr val="B2BFCE"/>
            </a:solidFill>
            <a:ln>
              <a:noFill/>
            </a:ln>
            <a:effectLst/>
          </c:spPr>
          <c:invertIfNegative val="0"/>
          <c:cat>
            <c:strRef>
              <c:f>Lernparadigmen!$A$2:$A$4</c:f>
              <c:strCache>
                <c:ptCount val="3"/>
                <c:pt idx="0">
                  <c:v>Supervised Learning (SL)</c:v>
                </c:pt>
                <c:pt idx="1">
                  <c:v>Unsupervised Learning (UL)</c:v>
                </c:pt>
                <c:pt idx="2">
                  <c:v>Reinforcement Learning (RL)</c:v>
                </c:pt>
              </c:strCache>
            </c:strRef>
          </c:cat>
          <c:val>
            <c:numRef>
              <c:f>Lernparadigmen!$D$2:$D$4</c:f>
              <c:numCache>
                <c:formatCode>General</c:formatCode>
                <c:ptCount val="3"/>
                <c:pt idx="0">
                  <c:v>2</c:v>
                </c:pt>
                <c:pt idx="1">
                  <c:v>0</c:v>
                </c:pt>
                <c:pt idx="2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F6-45B9-8306-CA89A9B14D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57366032"/>
        <c:axId val="1957365552"/>
      </c:barChart>
      <c:catAx>
        <c:axId val="1957366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957365552"/>
        <c:crosses val="autoZero"/>
        <c:auto val="1"/>
        <c:lblAlgn val="ctr"/>
        <c:lblOffset val="100"/>
        <c:noMultiLvlLbl val="0"/>
      </c:catAx>
      <c:valAx>
        <c:axId val="19573655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7366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5831505537252075E-3"/>
          <c:y val="0.90599047164470448"/>
          <c:w val="0.98055717301032097"/>
          <c:h val="8.019611422497048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Häufigkeit der angesprochenen</a:t>
            </a:r>
            <a:r>
              <a:rPr lang="en-US" baseline="0">
                <a:solidFill>
                  <a:sysClr val="windowText" lastClr="000000"/>
                </a:solidFill>
                <a:latin typeface="Arial" panose="020B0604020202020204" pitchFamily="34" charset="0"/>
                <a:cs typeface="Arial" panose="020B0604020202020204" pitchFamily="34" charset="0"/>
              </a:rPr>
              <a:t> Algorithmen und Methoden</a:t>
            </a:r>
            <a:endParaRPr lang="en-US">
              <a:solidFill>
                <a:sysClr val="windowText" lastClr="000000"/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Algorithmen!$B$1</c:f>
              <c:strCache>
                <c:ptCount val="1"/>
                <c:pt idx="0">
                  <c:v>Häufigkeit</c:v>
                </c:pt>
              </c:strCache>
            </c:strRef>
          </c:tx>
          <c:spPr>
            <a:solidFill>
              <a:srgbClr val="66D0C6"/>
            </a:solidFill>
            <a:ln>
              <a:noFill/>
            </a:ln>
            <a:effectLst/>
          </c:spPr>
          <c:invertIfNegative val="0"/>
          <c:cat>
            <c:strRef>
              <c:f>Algorithmen!$A$2:$A$5</c:f>
              <c:strCache>
                <c:ptCount val="4"/>
                <c:pt idx="0">
                  <c:v>Deep Learning / Neuronale Netze</c:v>
                </c:pt>
                <c:pt idx="1">
                  <c:v>Ensemble &amp; Baum-basiert</c:v>
                </c:pt>
                <c:pt idx="2">
                  <c:v>Klassische Klassifikation/ Regression</c:v>
                </c:pt>
                <c:pt idx="3">
                  <c:v>Clustering</c:v>
                </c:pt>
              </c:strCache>
            </c:strRef>
          </c:cat>
          <c:val>
            <c:numRef>
              <c:f>Algorithmen!$B$2:$B$5</c:f>
              <c:numCache>
                <c:formatCode>0%</c:formatCode>
                <c:ptCount val="4"/>
                <c:pt idx="0">
                  <c:v>0.88888888888888884</c:v>
                </c:pt>
                <c:pt idx="1">
                  <c:v>0.3888888888888889</c:v>
                </c:pt>
                <c:pt idx="2">
                  <c:v>0.44444444444444442</c:v>
                </c:pt>
                <c:pt idx="3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44-460F-8AF7-FE466D2D26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4015215"/>
        <c:axId val="154015695"/>
      </c:barChart>
      <c:catAx>
        <c:axId val="154015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0" i="0" u="none" strike="noStrike" kern="1200" baseline="0">
                <a:solidFill>
                  <a:sysClr val="windowText" lastClr="000000"/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en-US"/>
          </a:p>
        </c:txPr>
        <c:crossAx val="154015695"/>
        <c:crosses val="autoZero"/>
        <c:auto val="1"/>
        <c:lblAlgn val="ctr"/>
        <c:lblOffset val="100"/>
        <c:noMultiLvlLbl val="0"/>
      </c:catAx>
      <c:valAx>
        <c:axId val="154015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40152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977900</xdr:colOff>
      <xdr:row>9</xdr:row>
      <xdr:rowOff>149225</xdr:rowOff>
    </xdr:from>
    <xdr:to>
      <xdr:col>3</xdr:col>
      <xdr:colOff>1377950</xdr:colOff>
      <xdr:row>24</xdr:row>
      <xdr:rowOff>130175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EFFB1D1-C871-6D89-6C93-408F3400F9E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314738</xdr:colOff>
      <xdr:row>8</xdr:row>
      <xdr:rowOff>121202</xdr:rowOff>
    </xdr:from>
    <xdr:to>
      <xdr:col>13</xdr:col>
      <xdr:colOff>437029</xdr:colOff>
      <xdr:row>19</xdr:row>
      <xdr:rowOff>107535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AD712B89-D19D-2B62-5CA2-F1261E301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439456</xdr:colOff>
      <xdr:row>0</xdr:row>
      <xdr:rowOff>49119</xdr:rowOff>
    </xdr:from>
    <xdr:to>
      <xdr:col>13</xdr:col>
      <xdr:colOff>78441</xdr:colOff>
      <xdr:row>7</xdr:row>
      <xdr:rowOff>145676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A1C1E7A1-BC01-2620-A179-CB01DACE4CE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55562</xdr:colOff>
      <xdr:row>6</xdr:row>
      <xdr:rowOff>11113</xdr:rowOff>
    </xdr:from>
    <xdr:to>
      <xdr:col>6</xdr:col>
      <xdr:colOff>1451428</xdr:colOff>
      <xdr:row>29</xdr:row>
      <xdr:rowOff>136072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6AB32CC5-64A9-E883-A70D-B047CD1DA9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727075</xdr:colOff>
      <xdr:row>7</xdr:row>
      <xdr:rowOff>49741</xdr:rowOff>
    </xdr:from>
    <xdr:to>
      <xdr:col>2</xdr:col>
      <xdr:colOff>811742</xdr:colOff>
      <xdr:row>22</xdr:row>
      <xdr:rowOff>97366</xdr:rowOff>
    </xdr:to>
    <xdr:graphicFrame macro="">
      <xdr:nvGraphicFramePr>
        <xdr:cNvPr id="2" name="Diagramm 1">
          <a:extLst>
            <a:ext uri="{FF2B5EF4-FFF2-40B4-BE49-F238E27FC236}">
              <a16:creationId xmlns:a16="http://schemas.microsoft.com/office/drawing/2014/main" id="{534D1943-20BD-A8F5-334A-877F8EAE8D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CC33F1-D254-49F3-8557-E5C7872583BF}" name="Tabelle1" displayName="Tabelle1" ref="A1:E6" totalsRowShown="0" headerRowDxfId="34" headerRowBorderDxfId="33" tableBorderDxfId="32" totalsRowBorderDxfId="31">
  <autoFilter ref="A1:E6" xr:uid="{B9CC33F1-D254-49F3-8557-E5C7872583BF}"/>
  <tableColumns count="5">
    <tableColumn id="1" xr3:uid="{620D4100-10BB-4135-B53B-6B5034AFE668}" name="Jahr" dataDxfId="30"/>
    <tableColumn id="2" xr3:uid="{D134C25B-4B6A-4AAB-AF1C-8A8225861C02}" name="Journal" dataDxfId="29"/>
    <tableColumn id="3" xr3:uid="{10A7D4DA-004F-4919-AD06-7AB2A5AA9262}" name="Conference" dataDxfId="28"/>
    <tableColumn id="4" xr3:uid="{EA1054E4-076B-47F9-9C72-0D8023C3392B}" name="Arxiv" dataDxfId="27"/>
    <tableColumn id="5" xr3:uid="{DDFEFE86-2761-4404-8068-121B7CDC91D0}" name="Whitepaper" dataDxfId="2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517C7E9-96D7-4177-BCC7-4D8BF4066876}" name="Tabelle27" displayName="Tabelle27" ref="E1:F6" totalsRowShown="0" headerRowDxfId="25" headerRowBorderDxfId="24" tableBorderDxfId="23" totalsRowBorderDxfId="22">
  <autoFilter ref="E1:F6" xr:uid="{B517C7E9-96D7-4177-BCC7-4D8BF4066876}"/>
  <tableColumns count="2">
    <tableColumn id="1" xr3:uid="{FA5B63D2-4D69-40B0-A8C4-99534F932421}" name="Use Case" dataDxfId="21"/>
    <tableColumn id="2" xr3:uid="{22E39CEE-4C36-4391-9DC9-B26D6BB1FBFA}" name="Häufigkeit" dataDxfId="20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4EAD1EC-A7FE-4C98-8156-9219E942A8BE}" name="Tabelle38" displayName="Tabelle38" ref="E10:F15" totalsRowShown="0" headerRowDxfId="19" headerRowBorderDxfId="18" tableBorderDxfId="17" totalsRowBorderDxfId="16">
  <autoFilter ref="E10:F15" xr:uid="{D4EAD1EC-A7FE-4C98-8156-9219E942A8BE}"/>
  <tableColumns count="2">
    <tableColumn id="1" xr3:uid="{D4C53F4C-670A-4398-9895-7693BEFE023D}" name="Herausforderung" dataDxfId="15"/>
    <tableColumn id="2" xr3:uid="{88D328E2-D6AF-4CA3-8BCE-7BF47C182462}" name="Häufigkeit" dataDxfId="14" dataCellStyle="Prozent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2E4DE7-B15D-4164-9E48-FA7C94CE72C0}" name="Tabelle4" displayName="Tabelle4" ref="A1:D4" totalsRowShown="0" headerRowDxfId="13" headerRowBorderDxfId="12" tableBorderDxfId="11" totalsRowBorderDxfId="10">
  <autoFilter ref="A1:D4" xr:uid="{A62E4DE7-B15D-4164-9E48-FA7C94CE72C0}"/>
  <tableColumns count="4">
    <tableColumn id="1" xr3:uid="{F14AF351-14AF-44A5-8947-E212E1F47F29}" name="Lernparadigma" dataDxfId="9"/>
    <tableColumn id="2" xr3:uid="{3A7749C9-6DF4-43D7-B809-334A1DA17A06}" name="Explizit = klar benannt und beschrieben" dataDxfId="8"/>
    <tableColumn id="3" xr3:uid="{FD12B577-2D81-43CF-8D4F-FB76FE8141A1}" name="Implizit = über Algorithmen oder Mechanismen identifizierbar" dataDxfId="7"/>
    <tableColumn id="4" xr3:uid="{4C2CAFC5-567F-4E51-86AE-A38E907606CB}" name="Erwähnt = lediglich erwähnt, ohne inhaltliche Ausführung" dataDxfId="6"/>
  </tableColumns>
  <tableStyleInfo name="TableStyleLight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997ABBB2-BD81-4BB5-B021-45BB4E97412D}" name="Tabelle59" displayName="Tabelle59" ref="A1:B5" totalsRowShown="0" headerRowDxfId="5" headerRowBorderDxfId="4" tableBorderDxfId="3" totalsRowBorderDxfId="2">
  <autoFilter ref="A1:B5" xr:uid="{997ABBB2-BD81-4BB5-B021-45BB4E97412D}"/>
  <tableColumns count="2">
    <tableColumn id="1" xr3:uid="{BC3A2AA9-E3FB-4C23-98FB-3C9ECCB4D228}" name="Methode/Algorithmus" dataDxfId="1"/>
    <tableColumn id="2" xr3:uid="{F0E647BA-D317-4092-96EF-C9BC7AF21C97}" name="Häufigkeit" dataDxfId="0" dataCellStyle="Prozent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226A24-3CB1-4FB4-B481-A184711D649A}">
  <dimension ref="A1:F17"/>
  <sheetViews>
    <sheetView zoomScaleNormal="100" workbookViewId="0">
      <pane ySplit="1" topLeftCell="A2" activePane="bottomLeft" state="frozen"/>
      <selection activeCell="C1" sqref="C1"/>
      <selection pane="bottomLeft" activeCell="F18" sqref="F18"/>
    </sheetView>
  </sheetViews>
  <sheetFormatPr baseColWidth="10" defaultRowHeight="15" x14ac:dyDescent="0.2"/>
  <cols>
    <col min="1" max="1" width="16.83203125" customWidth="1"/>
    <col min="2" max="3" width="21.5" customWidth="1"/>
    <col min="4" max="4" width="25.1640625" customWidth="1"/>
    <col min="5" max="5" width="27.6640625" customWidth="1"/>
    <col min="6" max="7" width="21.5" customWidth="1"/>
    <col min="8" max="8" width="27.6640625" customWidth="1"/>
  </cols>
  <sheetData>
    <row r="1" spans="1:6" ht="16" x14ac:dyDescent="0.2">
      <c r="A1" s="22" t="s">
        <v>10</v>
      </c>
      <c r="B1" s="23" t="s">
        <v>64</v>
      </c>
      <c r="C1" s="23" t="s">
        <v>65</v>
      </c>
      <c r="D1" s="23" t="s">
        <v>66</v>
      </c>
      <c r="E1" s="24" t="s">
        <v>67</v>
      </c>
      <c r="F1" s="19"/>
    </row>
    <row r="2" spans="1:6" x14ac:dyDescent="0.2">
      <c r="A2" s="20">
        <v>2021</v>
      </c>
      <c r="B2" s="18">
        <v>1</v>
      </c>
      <c r="C2" s="18"/>
      <c r="D2" s="18"/>
      <c r="E2" s="21"/>
    </row>
    <row r="3" spans="1:6" x14ac:dyDescent="0.2">
      <c r="A3" s="20">
        <v>2022</v>
      </c>
      <c r="B3" s="18">
        <v>1</v>
      </c>
      <c r="C3" s="18"/>
      <c r="D3" s="16"/>
      <c r="E3" s="21"/>
    </row>
    <row r="4" spans="1:6" x14ac:dyDescent="0.2">
      <c r="A4" s="20">
        <v>2023</v>
      </c>
      <c r="B4" s="18">
        <v>1</v>
      </c>
      <c r="C4" s="18"/>
      <c r="D4" s="2"/>
      <c r="E4" s="21"/>
    </row>
    <row r="5" spans="1:6" x14ac:dyDescent="0.2">
      <c r="A5" s="20">
        <v>2024</v>
      </c>
      <c r="B5" s="18">
        <v>5</v>
      </c>
      <c r="C5" s="18"/>
      <c r="D5" s="2">
        <v>1</v>
      </c>
      <c r="E5" s="21">
        <v>1</v>
      </c>
    </row>
    <row r="6" spans="1:6" x14ac:dyDescent="0.2">
      <c r="A6" s="25">
        <v>2025</v>
      </c>
      <c r="B6" s="26">
        <v>7</v>
      </c>
      <c r="C6" s="26">
        <v>1</v>
      </c>
      <c r="D6" s="27"/>
      <c r="E6" s="28"/>
    </row>
    <row r="7" spans="1:6" x14ac:dyDescent="0.2">
      <c r="A7" s="17"/>
      <c r="B7" s="17"/>
      <c r="C7" s="17"/>
    </row>
    <row r="8" spans="1:6" x14ac:dyDescent="0.2">
      <c r="A8" s="17"/>
      <c r="B8" s="17"/>
      <c r="C8" s="17"/>
    </row>
    <row r="9" spans="1:6" x14ac:dyDescent="0.2">
      <c r="A9" s="17"/>
      <c r="B9" s="17"/>
      <c r="C9" s="17"/>
    </row>
    <row r="10" spans="1:6" x14ac:dyDescent="0.2">
      <c r="A10" s="17"/>
      <c r="B10" s="17"/>
      <c r="C10" s="17"/>
    </row>
    <row r="11" spans="1:6" x14ac:dyDescent="0.2">
      <c r="A11" s="17"/>
      <c r="B11" s="17"/>
      <c r="C11" s="17"/>
    </row>
    <row r="12" spans="1:6" x14ac:dyDescent="0.2">
      <c r="A12" s="17"/>
      <c r="B12" s="17"/>
      <c r="C12" s="17"/>
    </row>
    <row r="13" spans="1:6" x14ac:dyDescent="0.2">
      <c r="A13" s="17"/>
      <c r="B13" s="17"/>
      <c r="C13" s="17"/>
    </row>
    <row r="14" spans="1:6" x14ac:dyDescent="0.2">
      <c r="A14" s="17"/>
      <c r="B14" s="17"/>
      <c r="C14" s="17"/>
    </row>
    <row r="15" spans="1:6" x14ac:dyDescent="0.2">
      <c r="A15" s="17"/>
      <c r="B15" s="17"/>
      <c r="C15" s="17"/>
    </row>
    <row r="16" spans="1:6" x14ac:dyDescent="0.2">
      <c r="A16" s="17"/>
      <c r="B16" s="17"/>
      <c r="C16" s="17"/>
    </row>
    <row r="17" spans="1:3" x14ac:dyDescent="0.2">
      <c r="A17" s="17"/>
      <c r="B17" s="17"/>
      <c r="C17" s="17"/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99D05-FC12-4E10-8DB7-F9A31CAD1DF2}">
  <dimension ref="A1:F15"/>
  <sheetViews>
    <sheetView zoomScale="85" zoomScaleNormal="85" workbookViewId="0">
      <selection activeCell="O9" sqref="O9"/>
    </sheetView>
  </sheetViews>
  <sheetFormatPr baseColWidth="10" defaultRowHeight="15" x14ac:dyDescent="0.2"/>
  <cols>
    <col min="1" max="1" width="31.33203125" customWidth="1"/>
    <col min="2" max="2" width="17.5" customWidth="1"/>
    <col min="3" max="3" width="37.83203125" customWidth="1"/>
    <col min="5" max="6" width="23.1640625" style="30" customWidth="1"/>
  </cols>
  <sheetData>
    <row r="1" spans="1:6" ht="16" x14ac:dyDescent="0.2">
      <c r="A1" s="11" t="s">
        <v>18</v>
      </c>
      <c r="B1" s="11" t="s">
        <v>7</v>
      </c>
      <c r="C1" s="11" t="s">
        <v>6</v>
      </c>
      <c r="E1" s="33" t="s">
        <v>18</v>
      </c>
      <c r="F1" s="34" t="s">
        <v>7</v>
      </c>
    </row>
    <row r="2" spans="1:6" ht="32" x14ac:dyDescent="0.2">
      <c r="A2" s="12" t="s">
        <v>20</v>
      </c>
      <c r="B2" s="13" t="s">
        <v>11</v>
      </c>
      <c r="C2" s="12" t="s">
        <v>32</v>
      </c>
      <c r="E2" s="31" t="s">
        <v>135</v>
      </c>
      <c r="F2" s="32">
        <v>3</v>
      </c>
    </row>
    <row r="3" spans="1:6" ht="32" x14ac:dyDescent="0.2">
      <c r="A3" s="12" t="s">
        <v>21</v>
      </c>
      <c r="B3" s="13" t="s">
        <v>0</v>
      </c>
      <c r="C3" s="12" t="s">
        <v>36</v>
      </c>
      <c r="E3" s="31" t="s">
        <v>21</v>
      </c>
      <c r="F3" s="32">
        <v>7</v>
      </c>
    </row>
    <row r="4" spans="1:6" ht="32" x14ac:dyDescent="0.2">
      <c r="A4" s="12" t="s">
        <v>22</v>
      </c>
      <c r="B4" s="13" t="s">
        <v>29</v>
      </c>
      <c r="C4" s="12" t="s">
        <v>33</v>
      </c>
      <c r="E4" s="31" t="s">
        <v>22</v>
      </c>
      <c r="F4" s="32">
        <v>3</v>
      </c>
    </row>
    <row r="5" spans="1:6" ht="32" x14ac:dyDescent="0.2">
      <c r="A5" s="12" t="s">
        <v>72</v>
      </c>
      <c r="B5" s="13" t="s">
        <v>28</v>
      </c>
      <c r="C5" s="12" t="s">
        <v>34</v>
      </c>
      <c r="E5" s="31" t="s">
        <v>146</v>
      </c>
      <c r="F5" s="32">
        <v>5</v>
      </c>
    </row>
    <row r="6" spans="1:6" ht="48" x14ac:dyDescent="0.2">
      <c r="A6" s="12" t="s">
        <v>73</v>
      </c>
      <c r="B6" s="13" t="s">
        <v>28</v>
      </c>
      <c r="C6" s="12" t="s">
        <v>35</v>
      </c>
      <c r="E6" s="35"/>
      <c r="F6" s="36"/>
    </row>
    <row r="10" spans="1:6" ht="16" thickBot="1" x14ac:dyDescent="0.25">
      <c r="A10" s="5" t="s">
        <v>54</v>
      </c>
      <c r="B10" s="5" t="s">
        <v>7</v>
      </c>
      <c r="C10" s="5" t="s">
        <v>56</v>
      </c>
      <c r="E10" s="38" t="s">
        <v>54</v>
      </c>
      <c r="F10" s="39" t="s">
        <v>7</v>
      </c>
    </row>
    <row r="11" spans="1:6" ht="32" x14ac:dyDescent="0.2">
      <c r="A11" s="1" t="s">
        <v>57</v>
      </c>
      <c r="B11" s="2" t="s">
        <v>148</v>
      </c>
      <c r="C11" s="2" t="s">
        <v>147</v>
      </c>
      <c r="E11" s="48" t="s">
        <v>57</v>
      </c>
      <c r="F11" s="41">
        <f xml:space="preserve"> 17/18</f>
        <v>0.94444444444444442</v>
      </c>
    </row>
    <row r="12" spans="1:6" ht="32" x14ac:dyDescent="0.2">
      <c r="A12" s="1" t="s">
        <v>58</v>
      </c>
      <c r="B12" s="2" t="s">
        <v>149</v>
      </c>
      <c r="C12" s="2" t="s">
        <v>61</v>
      </c>
      <c r="E12" s="49" t="s">
        <v>58</v>
      </c>
      <c r="F12" s="41">
        <f xml:space="preserve"> 15/18</f>
        <v>0.83333333333333337</v>
      </c>
    </row>
    <row r="13" spans="1:6" ht="32" x14ac:dyDescent="0.2">
      <c r="A13" s="1" t="s">
        <v>59</v>
      </c>
      <c r="B13" s="2" t="s">
        <v>149</v>
      </c>
      <c r="C13" s="2" t="s">
        <v>62</v>
      </c>
      <c r="E13" s="49" t="s">
        <v>156</v>
      </c>
      <c r="F13" s="41">
        <f xml:space="preserve"> 15/18</f>
        <v>0.83333333333333337</v>
      </c>
    </row>
    <row r="14" spans="1:6" ht="32" x14ac:dyDescent="0.2">
      <c r="A14" s="1" t="s">
        <v>55</v>
      </c>
      <c r="B14" s="2" t="s">
        <v>149</v>
      </c>
      <c r="C14" s="2" t="s">
        <v>63</v>
      </c>
      <c r="E14" s="49" t="s">
        <v>136</v>
      </c>
      <c r="F14" s="41">
        <f xml:space="preserve"> 14/18</f>
        <v>0.77777777777777779</v>
      </c>
    </row>
    <row r="15" spans="1:6" ht="49" thickBot="1" x14ac:dyDescent="0.25">
      <c r="A15" s="1" t="s">
        <v>60</v>
      </c>
      <c r="B15" s="2" t="s">
        <v>155</v>
      </c>
      <c r="C15" s="2" t="s">
        <v>50</v>
      </c>
      <c r="E15" s="50" t="s">
        <v>137</v>
      </c>
      <c r="F15" s="42">
        <f xml:space="preserve"> 13/18</f>
        <v>0.72222222222222221</v>
      </c>
    </row>
  </sheetData>
  <pageMargins left="0.7" right="0.7" top="0.78740157499999996" bottom="0.78740157499999996" header="0.3" footer="0.3"/>
  <pageSetup paperSize="9" orientation="portrait" horizontalDpi="0" verticalDpi="0"/>
  <drawing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6F798B-F129-4C52-8944-FD82D34941C3}">
  <dimension ref="A1:G4"/>
  <sheetViews>
    <sheetView tabSelected="1" zoomScale="84" zoomScaleNormal="55" workbookViewId="0">
      <selection activeCell="I21" sqref="I21"/>
    </sheetView>
  </sheetViews>
  <sheetFormatPr baseColWidth="10" defaultRowHeight="15" x14ac:dyDescent="0.2"/>
  <cols>
    <col min="1" max="4" width="17.83203125" customWidth="1"/>
    <col min="5" max="6" width="32.6640625" customWidth="1"/>
    <col min="7" max="7" width="19.83203125" customWidth="1"/>
  </cols>
  <sheetData>
    <row r="1" spans="1:7" ht="64" x14ac:dyDescent="0.2">
      <c r="A1" s="6" t="s">
        <v>19</v>
      </c>
      <c r="B1" s="6" t="s">
        <v>143</v>
      </c>
      <c r="C1" s="51" t="s">
        <v>144</v>
      </c>
      <c r="D1" s="52" t="s">
        <v>145</v>
      </c>
      <c r="E1" s="6" t="s">
        <v>75</v>
      </c>
      <c r="F1" s="6" t="s">
        <v>76</v>
      </c>
      <c r="G1" s="2" t="s">
        <v>138</v>
      </c>
    </row>
    <row r="2" spans="1:7" ht="32" x14ac:dyDescent="0.2">
      <c r="A2" s="1" t="s">
        <v>16</v>
      </c>
      <c r="B2" s="1">
        <v>4</v>
      </c>
      <c r="C2" s="1">
        <v>11</v>
      </c>
      <c r="D2" s="1">
        <v>2</v>
      </c>
      <c r="E2" s="1" t="s">
        <v>140</v>
      </c>
      <c r="F2" s="1" t="s">
        <v>150</v>
      </c>
      <c r="G2" s="2" t="s">
        <v>139</v>
      </c>
    </row>
    <row r="3" spans="1:7" ht="32" x14ac:dyDescent="0.2">
      <c r="A3" s="1" t="s">
        <v>15</v>
      </c>
      <c r="B3" s="1">
        <v>3</v>
      </c>
      <c r="C3" s="1">
        <v>7</v>
      </c>
      <c r="D3" s="1">
        <v>0</v>
      </c>
      <c r="E3" s="1" t="s">
        <v>77</v>
      </c>
      <c r="F3" s="1" t="s">
        <v>151</v>
      </c>
      <c r="G3" s="2"/>
    </row>
    <row r="4" spans="1:7" ht="32" x14ac:dyDescent="0.2">
      <c r="A4" s="1" t="s">
        <v>14</v>
      </c>
      <c r="B4" s="1">
        <v>7</v>
      </c>
      <c r="C4" s="1">
        <v>0</v>
      </c>
      <c r="D4" s="1">
        <v>4</v>
      </c>
      <c r="E4" s="1" t="s">
        <v>142</v>
      </c>
      <c r="F4" s="1"/>
      <c r="G4" s="2" t="s">
        <v>141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F08444-4000-4A0F-9CD0-9E41C62F8163}">
  <dimension ref="A1:C5"/>
  <sheetViews>
    <sheetView zoomScale="90" zoomScaleNormal="90" workbookViewId="0">
      <selection activeCell="D26" sqref="D26"/>
    </sheetView>
  </sheetViews>
  <sheetFormatPr baseColWidth="10" defaultRowHeight="15" x14ac:dyDescent="0.2"/>
  <cols>
    <col min="1" max="2" width="32.1640625" customWidth="1"/>
    <col min="3" max="3" width="34.83203125" customWidth="1"/>
    <col min="4" max="4" width="47.6640625" customWidth="1"/>
    <col min="5" max="6" width="26.1640625" customWidth="1"/>
  </cols>
  <sheetData>
    <row r="1" spans="1:3" x14ac:dyDescent="0.2">
      <c r="A1" s="38" t="s">
        <v>12</v>
      </c>
      <c r="B1" s="39" t="s">
        <v>7</v>
      </c>
      <c r="C1" s="5" t="s">
        <v>6</v>
      </c>
    </row>
    <row r="2" spans="1:3" ht="32" x14ac:dyDescent="0.2">
      <c r="A2" s="37" t="s">
        <v>51</v>
      </c>
      <c r="B2" s="45">
        <f xml:space="preserve"> 16/18</f>
        <v>0.88888888888888884</v>
      </c>
      <c r="C2" s="1" t="s">
        <v>152</v>
      </c>
    </row>
    <row r="3" spans="1:3" ht="16" x14ac:dyDescent="0.2">
      <c r="A3" s="37" t="s">
        <v>52</v>
      </c>
      <c r="B3" s="45">
        <f>7/18</f>
        <v>0.3888888888888889</v>
      </c>
      <c r="C3" s="1" t="s">
        <v>53</v>
      </c>
    </row>
    <row r="4" spans="1:3" ht="16" x14ac:dyDescent="0.2">
      <c r="A4" s="37" t="s">
        <v>78</v>
      </c>
      <c r="B4" s="45">
        <f>8/18</f>
        <v>0.44444444444444442</v>
      </c>
      <c r="C4" s="1" t="s">
        <v>153</v>
      </c>
    </row>
    <row r="5" spans="1:3" ht="16" x14ac:dyDescent="0.2">
      <c r="A5" s="40" t="s">
        <v>49</v>
      </c>
      <c r="B5" s="46">
        <f>6/18</f>
        <v>0.33333333333333331</v>
      </c>
      <c r="C5" s="1" t="s">
        <v>154</v>
      </c>
    </row>
  </sheetData>
  <pageMargins left="0.7" right="0.7" top="0.78740157499999996" bottom="0.78740157499999996" header="0.3" footer="0.3"/>
  <pageSetup paperSize="9" orientation="portrait" r:id="rId1"/>
  <drawing r:id="rId2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C9C35-D9FF-4137-8E2C-FCA75837906B}">
  <dimension ref="A1:D14"/>
  <sheetViews>
    <sheetView workbookViewId="0">
      <selection activeCell="G5" sqref="G5"/>
    </sheetView>
  </sheetViews>
  <sheetFormatPr baseColWidth="10" defaultRowHeight="15" x14ac:dyDescent="0.2"/>
  <cols>
    <col min="1" max="4" width="28.6640625" customWidth="1"/>
  </cols>
  <sheetData>
    <row r="1" spans="1:4" ht="16" thickBot="1" x14ac:dyDescent="0.25">
      <c r="A1" s="43" t="s">
        <v>79</v>
      </c>
      <c r="B1" s="43" t="s">
        <v>80</v>
      </c>
      <c r="C1" s="43" t="s">
        <v>81</v>
      </c>
      <c r="D1" s="43" t="s">
        <v>82</v>
      </c>
    </row>
    <row r="2" spans="1:4" ht="31" thickBot="1" x14ac:dyDescent="0.25">
      <c r="A2" s="43" t="s">
        <v>83</v>
      </c>
      <c r="B2" s="44" t="s">
        <v>84</v>
      </c>
      <c r="C2" s="44" t="s">
        <v>85</v>
      </c>
      <c r="D2" s="44" t="s">
        <v>86</v>
      </c>
    </row>
    <row r="3" spans="1:4" ht="31" thickBot="1" x14ac:dyDescent="0.25">
      <c r="A3" s="43" t="s">
        <v>87</v>
      </c>
      <c r="B3" s="44" t="s">
        <v>88</v>
      </c>
      <c r="C3" s="44" t="s">
        <v>89</v>
      </c>
      <c r="D3" s="44" t="s">
        <v>90</v>
      </c>
    </row>
    <row r="4" spans="1:4" ht="31" thickBot="1" x14ac:dyDescent="0.25">
      <c r="A4" s="43" t="s">
        <v>91</v>
      </c>
      <c r="B4" s="44" t="s">
        <v>92</v>
      </c>
      <c r="C4" s="44" t="s">
        <v>93</v>
      </c>
      <c r="D4" s="44" t="s">
        <v>94</v>
      </c>
    </row>
    <row r="5" spans="1:4" ht="31" thickBot="1" x14ac:dyDescent="0.25">
      <c r="A5" s="43" t="s">
        <v>95</v>
      </c>
      <c r="B5" s="44" t="s">
        <v>96</v>
      </c>
      <c r="C5" s="44" t="s">
        <v>97</v>
      </c>
      <c r="D5" s="44" t="s">
        <v>98</v>
      </c>
    </row>
    <row r="6" spans="1:4" ht="16" thickBot="1" x14ac:dyDescent="0.25">
      <c r="A6" s="43" t="s">
        <v>99</v>
      </c>
      <c r="B6" s="44" t="s">
        <v>100</v>
      </c>
      <c r="C6" s="44" t="s">
        <v>101</v>
      </c>
      <c r="D6" s="44" t="s">
        <v>102</v>
      </c>
    </row>
    <row r="7" spans="1:4" ht="16" thickBot="1" x14ac:dyDescent="0.25">
      <c r="A7" s="43" t="s">
        <v>103</v>
      </c>
      <c r="B7" s="44" t="s">
        <v>104</v>
      </c>
      <c r="C7" s="44" t="s">
        <v>105</v>
      </c>
      <c r="D7" s="44" t="s">
        <v>106</v>
      </c>
    </row>
    <row r="8" spans="1:4" ht="16" thickBot="1" x14ac:dyDescent="0.25">
      <c r="A8" s="43" t="s">
        <v>107</v>
      </c>
      <c r="B8" s="44" t="s">
        <v>108</v>
      </c>
      <c r="C8" s="44" t="s">
        <v>109</v>
      </c>
      <c r="D8" s="44" t="s">
        <v>110</v>
      </c>
    </row>
    <row r="9" spans="1:4" ht="16" thickBot="1" x14ac:dyDescent="0.25">
      <c r="A9" s="43" t="s">
        <v>111</v>
      </c>
      <c r="B9" s="44" t="s">
        <v>112</v>
      </c>
      <c r="C9" s="44" t="s">
        <v>113</v>
      </c>
      <c r="D9" s="44" t="s">
        <v>114</v>
      </c>
    </row>
    <row r="10" spans="1:4" ht="31" thickBot="1" x14ac:dyDescent="0.25">
      <c r="A10" s="43" t="s">
        <v>115</v>
      </c>
      <c r="B10" s="44" t="s">
        <v>116</v>
      </c>
      <c r="C10" s="44" t="s">
        <v>117</v>
      </c>
      <c r="D10" s="44" t="s">
        <v>118</v>
      </c>
    </row>
    <row r="11" spans="1:4" ht="16" thickBot="1" x14ac:dyDescent="0.25">
      <c r="A11" s="43" t="s">
        <v>119</v>
      </c>
      <c r="B11" s="44" t="s">
        <v>120</v>
      </c>
      <c r="C11" s="44" t="s">
        <v>121</v>
      </c>
      <c r="D11" s="44" t="s">
        <v>122</v>
      </c>
    </row>
    <row r="12" spans="1:4" ht="16" thickBot="1" x14ac:dyDescent="0.25">
      <c r="A12" s="43" t="s">
        <v>123</v>
      </c>
      <c r="B12" s="44" t="s">
        <v>124</v>
      </c>
      <c r="C12" s="44" t="s">
        <v>125</v>
      </c>
      <c r="D12" s="44" t="s">
        <v>126</v>
      </c>
    </row>
    <row r="13" spans="1:4" ht="31" thickBot="1" x14ac:dyDescent="0.25">
      <c r="A13" s="43" t="s">
        <v>127</v>
      </c>
      <c r="B13" s="44" t="s">
        <v>128</v>
      </c>
      <c r="C13" s="44" t="s">
        <v>129</v>
      </c>
      <c r="D13" s="44" t="s">
        <v>130</v>
      </c>
    </row>
    <row r="14" spans="1:4" ht="31" thickBot="1" x14ac:dyDescent="0.25">
      <c r="A14" s="43" t="s">
        <v>131</v>
      </c>
      <c r="B14" s="44" t="s">
        <v>132</v>
      </c>
      <c r="C14" s="44" t="s">
        <v>133</v>
      </c>
      <c r="D14" s="44" t="s">
        <v>134</v>
      </c>
    </row>
  </sheetData>
  <pageMargins left="0.7" right="0.7" top="0.78740157499999996" bottom="0.78740157499999996" header="0.3" footer="0.3"/>
  <pageSetup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4EA90-740B-4B82-80F7-079B70741AD0}">
  <dimension ref="A1:G8"/>
  <sheetViews>
    <sheetView zoomScale="70" zoomScaleNormal="70" workbookViewId="0">
      <selection activeCell="D18" sqref="D18"/>
    </sheetView>
  </sheetViews>
  <sheetFormatPr baseColWidth="10" defaultRowHeight="15" x14ac:dyDescent="0.2"/>
  <cols>
    <col min="1" max="7" width="25.83203125" customWidth="1"/>
  </cols>
  <sheetData>
    <row r="1" spans="1:7" ht="48" x14ac:dyDescent="0.2">
      <c r="A1" s="9" t="s">
        <v>17</v>
      </c>
      <c r="B1" s="47" t="s">
        <v>20</v>
      </c>
      <c r="C1" s="3" t="s">
        <v>21</v>
      </c>
      <c r="D1" s="47" t="s">
        <v>22</v>
      </c>
      <c r="E1" s="3" t="s">
        <v>72</v>
      </c>
      <c r="F1" s="47" t="s">
        <v>74</v>
      </c>
      <c r="G1" s="9"/>
    </row>
    <row r="2" spans="1:7" ht="30.5" customHeight="1" x14ac:dyDescent="0.2">
      <c r="A2" s="8" t="s">
        <v>16</v>
      </c>
      <c r="C2" s="4"/>
      <c r="D2" s="4"/>
      <c r="E2" s="4"/>
      <c r="F2" s="4"/>
      <c r="G2" s="4"/>
    </row>
    <row r="3" spans="1:7" ht="30.5" customHeight="1" x14ac:dyDescent="0.2">
      <c r="A3" s="8" t="s">
        <v>15</v>
      </c>
      <c r="C3" s="4"/>
      <c r="D3" s="4"/>
      <c r="E3" s="4"/>
      <c r="F3" s="4"/>
      <c r="G3" s="4"/>
    </row>
    <row r="4" spans="1:7" ht="30.5" customHeight="1" x14ac:dyDescent="0.2">
      <c r="A4" s="8" t="s">
        <v>14</v>
      </c>
      <c r="C4" s="4"/>
      <c r="D4" s="4"/>
      <c r="E4" s="4"/>
      <c r="F4" s="4"/>
      <c r="G4" s="4"/>
    </row>
    <row r="5" spans="1:7" ht="30.5" customHeight="1" x14ac:dyDescent="0.2">
      <c r="A5" s="8" t="s">
        <v>13</v>
      </c>
      <c r="C5" s="4"/>
      <c r="D5" s="4"/>
      <c r="E5" s="4"/>
      <c r="F5" s="4"/>
      <c r="G5" s="4"/>
    </row>
    <row r="6" spans="1:7" ht="30.5" customHeight="1" x14ac:dyDescent="0.2">
      <c r="A6" s="29" t="s">
        <v>52</v>
      </c>
      <c r="B6" s="4"/>
      <c r="C6" s="4"/>
      <c r="D6" s="4"/>
      <c r="E6" s="4"/>
      <c r="F6" s="4"/>
      <c r="G6" s="4"/>
    </row>
    <row r="7" spans="1:7" ht="30.5" customHeight="1" x14ac:dyDescent="0.2">
      <c r="A7" s="29" t="s">
        <v>68</v>
      </c>
      <c r="B7" s="7"/>
      <c r="C7" s="7"/>
      <c r="D7" s="7"/>
      <c r="E7" s="7"/>
      <c r="F7" s="7"/>
      <c r="G7" s="7"/>
    </row>
    <row r="8" spans="1:7" x14ac:dyDescent="0.2">
      <c r="A8" s="29" t="s">
        <v>69</v>
      </c>
      <c r="B8" s="2"/>
      <c r="C8" s="2"/>
      <c r="D8" s="2"/>
      <c r="E8" s="2"/>
      <c r="F8" s="2"/>
      <c r="G8" s="2"/>
    </row>
  </sheetData>
  <pageMargins left="0.7" right="0.7" top="0.78740157499999996" bottom="0.78740157499999996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C547C4-CBCF-401F-8D40-69E42280EAE6}">
  <dimension ref="A1:A20"/>
  <sheetViews>
    <sheetView workbookViewId="0">
      <selection activeCell="A2" sqref="A2:A20"/>
    </sheetView>
  </sheetViews>
  <sheetFormatPr baseColWidth="10" defaultRowHeight="15" x14ac:dyDescent="0.2"/>
  <cols>
    <col min="1" max="1" width="113.5" customWidth="1"/>
  </cols>
  <sheetData>
    <row r="1" spans="1:1" x14ac:dyDescent="0.2">
      <c r="A1" t="s">
        <v>70</v>
      </c>
    </row>
    <row r="2" spans="1:1" ht="14.5" customHeight="1" x14ac:dyDescent="0.2">
      <c r="A2" s="53" t="s">
        <v>71</v>
      </c>
    </row>
    <row r="3" spans="1:1" x14ac:dyDescent="0.2">
      <c r="A3" s="53"/>
    </row>
    <row r="4" spans="1:1" x14ac:dyDescent="0.2">
      <c r="A4" s="53"/>
    </row>
    <row r="5" spans="1:1" x14ac:dyDescent="0.2">
      <c r="A5" s="53"/>
    </row>
    <row r="6" spans="1:1" x14ac:dyDescent="0.2">
      <c r="A6" s="53"/>
    </row>
    <row r="7" spans="1:1" x14ac:dyDescent="0.2">
      <c r="A7" s="53"/>
    </row>
    <row r="8" spans="1:1" x14ac:dyDescent="0.2">
      <c r="A8" s="53"/>
    </row>
    <row r="9" spans="1:1" x14ac:dyDescent="0.2">
      <c r="A9" s="53"/>
    </row>
    <row r="10" spans="1:1" x14ac:dyDescent="0.2">
      <c r="A10" s="53"/>
    </row>
    <row r="11" spans="1:1" x14ac:dyDescent="0.2">
      <c r="A11" s="53"/>
    </row>
    <row r="12" spans="1:1" x14ac:dyDescent="0.2">
      <c r="A12" s="53"/>
    </row>
    <row r="13" spans="1:1" x14ac:dyDescent="0.2">
      <c r="A13" s="53"/>
    </row>
    <row r="14" spans="1:1" x14ac:dyDescent="0.2">
      <c r="A14" s="53"/>
    </row>
    <row r="15" spans="1:1" x14ac:dyDescent="0.2">
      <c r="A15" s="53"/>
    </row>
    <row r="16" spans="1:1" x14ac:dyDescent="0.2">
      <c r="A16" s="53"/>
    </row>
    <row r="17" spans="1:1" x14ac:dyDescent="0.2">
      <c r="A17" s="53"/>
    </row>
    <row r="18" spans="1:1" x14ac:dyDescent="0.2">
      <c r="A18" s="53"/>
    </row>
    <row r="19" spans="1:1" x14ac:dyDescent="0.2">
      <c r="A19" s="53"/>
    </row>
    <row r="20" spans="1:1" x14ac:dyDescent="0.2">
      <c r="A20" s="53"/>
    </row>
  </sheetData>
  <mergeCells count="1">
    <mergeCell ref="A2:A20"/>
  </mergeCells>
  <pageMargins left="0.7" right="0.7" top="0.78740157499999996" bottom="0.78740157499999996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6C7F0-C4EB-46B5-ACB8-905A687213FC}">
  <dimension ref="A1:C17"/>
  <sheetViews>
    <sheetView workbookViewId="0">
      <selection activeCell="F3" sqref="F3"/>
    </sheetView>
  </sheetViews>
  <sheetFormatPr baseColWidth="10" defaultRowHeight="15" x14ac:dyDescent="0.2"/>
  <cols>
    <col min="1" max="3" width="37.83203125" customWidth="1"/>
  </cols>
  <sheetData>
    <row r="1" spans="1:3" ht="16" x14ac:dyDescent="0.2">
      <c r="A1" s="15" t="s">
        <v>23</v>
      </c>
      <c r="B1" s="10"/>
    </row>
    <row r="2" spans="1:3" x14ac:dyDescent="0.2">
      <c r="A2" s="5" t="s">
        <v>8</v>
      </c>
      <c r="B2" s="5" t="s">
        <v>7</v>
      </c>
      <c r="C2" s="5" t="s">
        <v>6</v>
      </c>
    </row>
    <row r="3" spans="1:3" ht="16" x14ac:dyDescent="0.2">
      <c r="A3" s="1" t="s">
        <v>5</v>
      </c>
      <c r="B3" s="1" t="s">
        <v>11</v>
      </c>
      <c r="C3" s="1" t="s">
        <v>45</v>
      </c>
    </row>
    <row r="4" spans="1:3" ht="16" x14ac:dyDescent="0.2">
      <c r="A4" s="1" t="s">
        <v>3</v>
      </c>
      <c r="B4" s="1" t="s">
        <v>0</v>
      </c>
      <c r="C4" s="1" t="s">
        <v>39</v>
      </c>
    </row>
    <row r="5" spans="1:3" ht="16" x14ac:dyDescent="0.2">
      <c r="A5" s="1" t="s">
        <v>25</v>
      </c>
      <c r="B5" s="1" t="s">
        <v>28</v>
      </c>
      <c r="C5" s="1" t="s">
        <v>38</v>
      </c>
    </row>
    <row r="6" spans="1:3" ht="16" x14ac:dyDescent="0.2">
      <c r="A6" s="3" t="s">
        <v>9</v>
      </c>
      <c r="B6" s="2" t="s">
        <v>29</v>
      </c>
      <c r="C6" s="14" t="s">
        <v>40</v>
      </c>
    </row>
    <row r="7" spans="1:3" ht="16" x14ac:dyDescent="0.2">
      <c r="A7" s="1" t="s">
        <v>4</v>
      </c>
      <c r="B7" s="1" t="s">
        <v>27</v>
      </c>
      <c r="C7" s="1" t="s">
        <v>42</v>
      </c>
    </row>
    <row r="8" spans="1:3" ht="16" x14ac:dyDescent="0.2">
      <c r="A8" s="1" t="s">
        <v>26</v>
      </c>
      <c r="B8" s="2" t="s">
        <v>29</v>
      </c>
      <c r="C8" s="2" t="s">
        <v>37</v>
      </c>
    </row>
    <row r="10" spans="1:3" ht="16" x14ac:dyDescent="0.2">
      <c r="A10" s="15" t="s">
        <v>24</v>
      </c>
      <c r="B10" s="10"/>
    </row>
    <row r="11" spans="1:3" x14ac:dyDescent="0.2">
      <c r="A11" s="5" t="s">
        <v>8</v>
      </c>
      <c r="B11" s="5" t="s">
        <v>7</v>
      </c>
      <c r="C11" s="5" t="s">
        <v>6</v>
      </c>
    </row>
    <row r="12" spans="1:3" ht="16" x14ac:dyDescent="0.2">
      <c r="A12" s="1" t="s">
        <v>5</v>
      </c>
      <c r="B12" s="1" t="s">
        <v>0</v>
      </c>
      <c r="C12" s="1" t="s">
        <v>41</v>
      </c>
    </row>
    <row r="13" spans="1:3" ht="16" x14ac:dyDescent="0.2">
      <c r="A13" s="1" t="s">
        <v>3</v>
      </c>
      <c r="B13" s="1" t="s">
        <v>1</v>
      </c>
      <c r="C13" s="1" t="s">
        <v>43</v>
      </c>
    </row>
    <row r="14" spans="1:3" ht="32" x14ac:dyDescent="0.2">
      <c r="A14" s="1" t="s">
        <v>25</v>
      </c>
      <c r="B14" s="1" t="s">
        <v>30</v>
      </c>
      <c r="C14" s="1" t="s">
        <v>46</v>
      </c>
    </row>
    <row r="15" spans="1:3" ht="16" x14ac:dyDescent="0.2">
      <c r="A15" s="3" t="s">
        <v>9</v>
      </c>
      <c r="B15" s="2" t="s">
        <v>1</v>
      </c>
      <c r="C15" s="14" t="s">
        <v>44</v>
      </c>
    </row>
    <row r="16" spans="1:3" ht="32" x14ac:dyDescent="0.2">
      <c r="A16" s="1" t="s">
        <v>4</v>
      </c>
      <c r="B16" s="1" t="s">
        <v>31</v>
      </c>
      <c r="C16" s="1" t="s">
        <v>47</v>
      </c>
    </row>
    <row r="17" spans="1:3" ht="16" x14ac:dyDescent="0.2">
      <c r="A17" s="1" t="s">
        <v>26</v>
      </c>
      <c r="B17" s="2" t="s">
        <v>2</v>
      </c>
      <c r="C17" s="16" t="s">
        <v>48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Arbeitsblätter</vt:lpstr>
      </vt:variant>
      <vt:variant>
        <vt:i4>8</vt:i4>
      </vt:variant>
      <vt:variant>
        <vt:lpstr>Benannte Bereiche</vt:lpstr>
      </vt:variant>
      <vt:variant>
        <vt:i4>1</vt:i4>
      </vt:variant>
    </vt:vector>
  </HeadingPairs>
  <TitlesOfParts>
    <vt:vector size="9" baseType="lpstr">
      <vt:lpstr>Jahr</vt:lpstr>
      <vt:lpstr>Use cases</vt:lpstr>
      <vt:lpstr>Lernparadigmen</vt:lpstr>
      <vt:lpstr>Algorithmen</vt:lpstr>
      <vt:lpstr>Zeitplan</vt:lpstr>
      <vt:lpstr>Kreuztabelle</vt:lpstr>
      <vt:lpstr>Keywords</vt:lpstr>
      <vt:lpstr>Sonstiges</vt:lpstr>
      <vt:lpstr>Zeitplan!Druckbereich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FIXED-TERM Arnold Nils (BD/DIA-MCS)</dc:creator>
  <cp:lastModifiedBy>Nils Arnold</cp:lastModifiedBy>
  <cp:lastPrinted>2025-12-05T09:20:12Z</cp:lastPrinted>
  <dcterms:created xsi:type="dcterms:W3CDTF">2015-06-05T18:19:34Z</dcterms:created>
  <dcterms:modified xsi:type="dcterms:W3CDTF">2026-01-09T21:25:11Z</dcterms:modified>
</cp:coreProperties>
</file>