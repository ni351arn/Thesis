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65F3F297-A2D6-4245-85F1-6403B21532F1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<sst xmlns="http://schemas.openxmlformats.org/spreadsheetml/2006/main" count="197" uniqueCount="157">
  <si>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</si>
  <si>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</si>
  <si>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</si>
  <si>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</si>
  <si>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</si>
  <si>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</si>
  <si>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</si>
  <si>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</si>
  <si>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</si>
  <si>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</si>
  <si>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</si>
  <si>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</si>
  <si>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</si>
  <si>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</si>
  <si>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</si>
  <si>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</si>
  <si>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</si>
  <si>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</si>
  <si>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</si>
  <si>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</si>
  <si>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</si>
  <si>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</si>
  <si>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</si>
  <si>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</si>
  <si>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</si>
  <si>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</si>
  <si>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</si>
  <si>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</si>
  <si>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</si>
  <si>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</si>
  <si>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</si>
  <si>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</si>
  <si>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</si>
  <si>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</si>
  <si>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</si>
  <si>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</si>
  <si>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</si>
  <si>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</si>
  <si>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</si>
  <si>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</si>
  <si>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</si>
  <si>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</si>
  <si>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</si>
  <si>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</si>
  <si>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</si>
  <si>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</si>
  <si>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</si>
  <si>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</si>
  <si>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</si>
  <si>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</si>
  <si>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</si>
  <si>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</si>
  <si>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</si>
  <si>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</si>
  <si>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</si>
  <si>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</si>
  <si>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</si>
  <si>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</si>
  <si>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</si>
  <si>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</si>
  <si>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</si>
  <si>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</si>
  <si>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P7, P13</t>
  </si>
  <si>
    <t>P3, P4, P5, P7, P8, P13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</si>
  <si>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</si>
  <si>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</si>
  <si>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</si>
  <si>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</si>
  <si>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</si>
  <si>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</si>
  <si>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</si>
  <si>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</si>
  <si>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</si>
  <si>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</si>
  <si>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</si>
  <si>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Explizit Paper</t>
  </si>
  <si>
    <t>Implizit Paper</t>
  </si>
  <si>
    <t>P3, P12, P14</t>
  </si>
  <si>
    <t>Klassische Klassifikation/ Regression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</si>
  <si>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</si>
  <si>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</si>
  <si>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</si>
  <si>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</si>
  <si>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</si>
  <si>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</si>
  <si>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</si>
  <si>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</si>
  <si>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</si>
  <si>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</si>
  <si>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</si>
  <si>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</si>
  <si>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</si>
  <si>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</si>
  <si>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</si>
  <si>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</si>
  <si>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</si>
  <si>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</si>
  <si>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</si>
  <si>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</si>
  <si>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</si>
  <si>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</si>
  <si>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</si>
  <si>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</si>
  <si>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</si>
  <si>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</si>
  <si>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</si>
  <si>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</si>
  <si>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</si>
  <si>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</si>
  <si>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</si>
  <si>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</si>
  <si>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</si>
  <si>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</si>
  <si>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</si>
  <si>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</si>
  <si>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</si>
  <si>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</si>
  <si>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</si>
  <si>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</si>
  <si>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</si>
  <si>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</si>
  <si>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</si>
  <si>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</si>
  <si>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</si>
  <si>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</si>
  <si>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</si>
  <si>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</si>
  <si>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</si>
  <si>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</si>
  <si>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</si>
  <si>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</si>
  <si>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</si>
  <si>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</si>
  <si>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</si>
  <si>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</si>
  <si>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</si>
  <si>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 xml:space="preserve">Integrationskomplexität &amp; Abhängigkeiten </t>
  </si>
  <si>
    <t xml:space="preserve">Datenqualität, Datenverfügbarkeit und Heterogenität </t>
  </si>
  <si>
    <t>Erwähnt</t>
  </si>
  <si>
    <t>P11, P19</t>
  </si>
  <si>
    <t>P3, P4, P6, P12, P14, P18</t>
  </si>
  <si>
    <t>P1, P4, P13, P16</t>
  </si>
  <si>
    <t>P3, P10, P11, P12, P14, P17, P19</t>
  </si>
  <si>
    <t>Explizit = klar benannt und beschrieben</t>
  </si>
  <si>
    <t>Implizit = über Algorithmen oder Mechanismen identifizierbar</t>
  </si>
  <si>
    <t>Erwähnt = lediglich erwähnt, ohne inhaltliche Ausführung</t>
  </si>
  <si>
    <t xml:space="preserve">Betrieb &amp; Orchestrierung </t>
  </si>
  <si>
    <t xml:space="preserve">P5 </t>
  </si>
  <si>
    <t>17/18</t>
  </si>
  <si>
    <t>15/18</t>
  </si>
  <si>
    <t>P1, P2, P8, P9, P13, P15,  P16, P17, P20, P21</t>
  </si>
  <si>
    <t>P2,  P8, P11, P15, P17, P20, P21</t>
  </si>
  <si>
    <t>P1, P2, P3, P4, P5, P8, P10, P11, P12, P13, P14, P15, P16, P17, P19, P20</t>
  </si>
  <si>
    <t>P3, P4, P8, P9, P10, P14, P19, P20</t>
  </si>
  <si>
    <t>P3, P4, P8, P12, P14, P20</t>
  </si>
  <si>
    <t>13/18</t>
  </si>
  <si>
    <t xml:space="preserve">KI-Governance, Datenschutz und Compliance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</si>
</sst>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B2BFCE"/>
      <color rgb="FF66D0C6"/>
      <color rgb="FF00B1A0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KI-Governance,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0.94444444444444442</c:v>
                </c:pt>
                <c:pt idx="1">
                  <c:v>0.83333333333333337</c:v>
                </c:pt>
                <c:pt idx="2">
                  <c:v>0.83333333333333337</c:v>
                </c:pt>
                <c:pt idx="3">
                  <c:v>0.77777777777777779</c:v>
                </c:pt>
                <c:pt idx="4">
                  <c:v>0.72222222222222221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rgbClr val="66D0C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cat>
            <c:strRef>
              <c:f>'Use cases'!$E$2:$E$5</c:f>
              <c:strCache>
                <c:ptCount val="4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Betrieb &amp; Orchestrierung </c:v>
                </c:pt>
              </c:strCache>
            </c:strRef>
          </c:cat>
          <c:val>
            <c:numRef>
              <c:f>'Use cases'!$F$2:$F$5</c:f>
              <c:numCache>
                <c:formatCode>General</c:formatCode>
                <c:ptCount val="4"/>
                <c:pt idx="0">
                  <c:v>3</c:v>
                </c:pt>
                <c:pt idx="1">
                  <c:v>7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sz="1400" b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 sz="14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 = klar benannt und beschrieben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4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 = über Algorithmen oder Mechanismen identifizierbar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= lediglich erwähnt, ohne inhaltliche Ausführung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5831505537252075E-3"/>
          <c:y val="0.90599047164470448"/>
          <c:w val="0.98055717301032097"/>
          <c:h val="8.01961142249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0.88888888888888884</c:v>
                </c:pt>
                <c:pt idx="1">
                  <c:v>0.3888888888888889</c:v>
                </c:pt>
                <c:pt idx="2">
                  <c:v>0.44444444444444442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11</xdr:col>
      <xdr:colOff>301625</xdr:colOff>
      <xdr:row>34</xdr:row>
      <xdr:rowOff>88900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 = klar benannt und beschrieben" dataDxfId="8"/>
    <tableColumn id="3" xr3:uid="{FD12B577-2D81-43CF-8D4F-FB76FE8141A1}" name="Implizit = über Algorithmen oder Mechanismen identifizierbar" dataDxfId="7"/>
    <tableColumn id="4" xr3:uid="{4C2CAFC5-567F-4E51-86AE-A38E907606CB}" name="Erwähnt = lediglich erwähnt, ohne inhaltliche Ausführung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activeCell="F18" sqref="F18"/>
    </sheetView>
  </sheetViews>
  <sheetFormatPr baseColWidth="10" defaultRowHeight="15" x14ac:dyDescent="0.2"/>
  <cols>
    <col min="1" max="1" width="16.83203125" customWidth="1"/>
    <col min="2" max="3" width="21.5" customWidth="1"/>
    <col min="4" max="4" width="25.1640625" customWidth="1"/>
    <col min="5" max="5" width="27.6640625" customWidth="1"/>
    <col min="6" max="7" width="21.5" customWidth="1"/>
    <col min="8" max="8" width="27.6640625" customWidth="1"/>
  </cols>
  <sheetData>
    <row r="1" spans="1:6" ht="16" x14ac:dyDescent="0.2">
      <c r="A1" s="22" t="s">
        <v>10</v>
      </c>
      <c r="B1" s="23" t="s">
        <v>64</v>
      </c>
      <c r="C1" s="23" t="s">
        <v>65</v>
      </c>
      <c r="D1" s="23" t="s">
        <v>66</v>
      </c>
      <c r="E1" s="24" t="s">
        <v>67</v>
      </c>
      <c r="F1" s="19"/>
    </row>
    <row r="2" spans="1:6" x14ac:dyDescent="0.2">
      <c r="A2" s="20">
        <v>2021</v>
      </c>
      <c r="B2" s="18">
        <v>1</v>
      </c>
      <c r="C2" s="18"/>
      <c r="D2" s="18"/>
      <c r="E2" s="21"/>
    </row>
    <row r="3" spans="1:6" x14ac:dyDescent="0.2">
      <c r="A3" s="20">
        <v>2022</v>
      </c>
      <c r="B3" s="18">
        <v>1</v>
      </c>
      <c r="C3" s="18"/>
      <c r="D3" s="16"/>
      <c r="E3" s="21"/>
    </row>
    <row r="4" spans="1:6" x14ac:dyDescent="0.2">
      <c r="A4" s="20">
        <v>2023</v>
      </c>
      <c r="B4" s="18">
        <v>1</v>
      </c>
      <c r="C4" s="18"/>
      <c r="D4" s="2"/>
      <c r="E4" s="21"/>
    </row>
    <row r="5" spans="1:6" x14ac:dyDescent="0.2">
      <c r="A5" s="20">
        <v>2024</v>
      </c>
      <c r="B5" s="18">
        <v>5</v>
      </c>
      <c r="C5" s="18"/>
      <c r="D5" s="2">
        <v>1</v>
      </c>
      <c r="E5" s="21">
        <v>1</v>
      </c>
    </row>
    <row r="6" spans="1:6" x14ac:dyDescent="0.2">
      <c r="A6" s="25">
        <v>2025</v>
      </c>
      <c r="B6" s="26">
        <v>7</v>
      </c>
      <c r="C6" s="26">
        <v>1</v>
      </c>
      <c r="D6" s="27"/>
      <c r="E6" s="28"/>
    </row>
    <row r="7" spans="1:6" x14ac:dyDescent="0.2">
      <c r="A7" s="17"/>
      <c r="B7" s="17"/>
      <c r="C7" s="17"/>
    </row>
    <row r="8" spans="1:6" x14ac:dyDescent="0.2">
      <c r="A8" s="17"/>
      <c r="B8" s="17"/>
      <c r="C8" s="17"/>
    </row>
    <row r="9" spans="1:6" x14ac:dyDescent="0.2">
      <c r="A9" s="17"/>
      <c r="B9" s="17"/>
      <c r="C9" s="17"/>
    </row>
    <row r="10" spans="1:6" x14ac:dyDescent="0.2">
      <c r="A10" s="17"/>
      <c r="B10" s="17"/>
      <c r="C10" s="17"/>
    </row>
    <row r="11" spans="1:6" x14ac:dyDescent="0.2">
      <c r="A11" s="17"/>
      <c r="B11" s="17"/>
      <c r="C11" s="17"/>
    </row>
    <row r="12" spans="1:6" x14ac:dyDescent="0.2">
      <c r="A12" s="17"/>
      <c r="B12" s="17"/>
      <c r="C12" s="17"/>
    </row>
    <row r="13" spans="1:6" x14ac:dyDescent="0.2">
      <c r="A13" s="17"/>
      <c r="B13" s="17"/>
      <c r="C13" s="17"/>
    </row>
    <row r="14" spans="1:6" x14ac:dyDescent="0.2">
      <c r="A14" s="17"/>
      <c r="B14" s="17"/>
      <c r="C14" s="17"/>
    </row>
    <row r="15" spans="1:6" x14ac:dyDescent="0.2">
      <c r="A15" s="17"/>
      <c r="B15" s="17"/>
      <c r="C15" s="17"/>
    </row>
    <row r="16" spans="1:6" x14ac:dyDescent="0.2">
      <c r="A16" s="17"/>
      <c r="B16" s="17"/>
      <c r="C16" s="17"/>
    </row>
    <row r="17" spans="1:3" x14ac:dyDescent="0.2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abSelected="1" zoomScale="85" zoomScaleNormal="85" workbookViewId="0">
      <selection activeCell="O9" sqref="O9"/>
    </sheetView>
  </sheetViews>
  <sheetFormatPr baseColWidth="10" defaultRowHeight="15" x14ac:dyDescent="0.2"/>
  <cols>
    <col min="1" max="1" width="31.33203125" customWidth="1"/>
    <col min="2" max="2" width="17.5" customWidth="1"/>
    <col min="3" max="3" width="37.83203125" customWidth="1"/>
    <col min="5" max="6" width="23.1640625" style="30" customWidth="1"/>
  </cols>
  <sheetData>
    <row r="1" spans="1:6" ht="16" x14ac:dyDescent="0.2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32" x14ac:dyDescent="0.2">
      <c r="A2" s="12" t="s">
        <v>20</v>
      </c>
      <c r="B2" s="13" t="s">
        <v>11</v>
      </c>
      <c r="C2" s="12" t="s">
        <v>32</v>
      </c>
      <c r="E2" s="31" t="s">
        <v>135</v>
      </c>
      <c r="F2" s="32">
        <v>3</v>
      </c>
    </row>
    <row r="3" spans="1:6" ht="32" x14ac:dyDescent="0.2">
      <c r="A3" s="12" t="s">
        <v>21</v>
      </c>
      <c r="B3" s="13" t="s">
        <v>0</v>
      </c>
      <c r="C3" s="12" t="s">
        <v>36</v>
      </c>
      <c r="E3" s="31" t="s">
        <v>21</v>
      </c>
      <c r="F3" s="32">
        <v>7</v>
      </c>
    </row>
    <row r="4" spans="1:6" ht="32" x14ac:dyDescent="0.2">
      <c r="A4" s="12" t="s">
        <v>22</v>
      </c>
      <c r="B4" s="13" t="s">
        <v>29</v>
      </c>
      <c r="C4" s="12" t="s">
        <v>33</v>
      </c>
      <c r="E4" s="31" t="s">
        <v>22</v>
      </c>
      <c r="F4" s="32">
        <v>3</v>
      </c>
    </row>
    <row r="5" spans="1:6" ht="32" x14ac:dyDescent="0.2">
      <c r="A5" s="12" t="s">
        <v>72</v>
      </c>
      <c r="B5" s="13" t="s">
        <v>28</v>
      </c>
      <c r="C5" s="12" t="s">
        <v>34</v>
      </c>
      <c r="E5" s="31" t="s">
        <v>146</v>
      </c>
      <c r="F5" s="32">
        <v>5</v>
      </c>
    </row>
    <row r="6" spans="1:6" ht="48" x14ac:dyDescent="0.2">
      <c r="A6" s="12" t="s">
        <v>73</v>
      </c>
      <c r="B6" s="13" t="s">
        <v>28</v>
      </c>
      <c r="C6" s="12" t="s">
        <v>35</v>
      </c>
      <c r="E6" s="35"/>
      <c r="F6" s="36"/>
    </row>
    <row r="10" spans="1:6" ht="16" thickBot="1" x14ac:dyDescent="0.25">
      <c r="A10" s="5" t="s">
        <v>54</v>
      </c>
      <c r="B10" s="5" t="s">
        <v>7</v>
      </c>
      <c r="C10" s="5" t="s">
        <v>56</v>
      </c>
      <c r="E10" s="38" t="s">
        <v>54</v>
      </c>
      <c r="F10" s="39" t="s">
        <v>7</v>
      </c>
    </row>
    <row r="11" spans="1:6" ht="32" x14ac:dyDescent="0.2">
      <c r="A11" s="1" t="s">
        <v>57</v>
      </c>
      <c r="B11" s="2" t="s">
        <v>148</v>
      </c>
      <c r="C11" s="2" t="s">
        <v>147</v>
      </c>
      <c r="E11" s="48" t="s">
        <v>57</v>
      </c>
      <c r="F11" s="41">
        <f xml:space="preserve"> 17/18</f>
        <v>0.94444444444444442</v>
      </c>
    </row>
    <row r="12" spans="1:6" ht="32" x14ac:dyDescent="0.2">
      <c r="A12" s="1" t="s">
        <v>58</v>
      </c>
      <c r="B12" s="2" t="s">
        <v>149</v>
      </c>
      <c r="C12" s="2" t="s">
        <v>61</v>
      </c>
      <c r="E12" s="49" t="s">
        <v>58</v>
      </c>
      <c r="F12" s="41">
        <f xml:space="preserve"> 15/18</f>
        <v>0.83333333333333337</v>
      </c>
    </row>
    <row r="13" spans="1:6" ht="48" x14ac:dyDescent="0.2">
      <c r="A13" s="1" t="s">
        <v>59</v>
      </c>
      <c r="B13" s="2" t="s">
        <v>149</v>
      </c>
      <c r="C13" s="2" t="s">
        <v>62</v>
      </c>
      <c r="E13" s="49" t="s">
        <v>156</v>
      </c>
      <c r="F13" s="41">
        <f xml:space="preserve"> 15/18</f>
        <v>0.83333333333333337</v>
      </c>
    </row>
    <row r="14" spans="1:6" ht="32" x14ac:dyDescent="0.2">
      <c r="A14" s="1" t="s">
        <v>55</v>
      </c>
      <c r="B14" s="2" t="s">
        <v>149</v>
      </c>
      <c r="C14" s="2" t="s">
        <v>63</v>
      </c>
      <c r="E14" s="49" t="s">
        <v>136</v>
      </c>
      <c r="F14" s="41">
        <f xml:space="preserve"> 14/18</f>
        <v>0.77777777777777779</v>
      </c>
    </row>
    <row r="15" spans="1:6" ht="49" thickBot="1" x14ac:dyDescent="0.25">
      <c r="A15" s="1" t="s">
        <v>60</v>
      </c>
      <c r="B15" s="2" t="s">
        <v>155</v>
      </c>
      <c r="C15" s="2" t="s">
        <v>50</v>
      </c>
      <c r="E15" s="50" t="s">
        <v>137</v>
      </c>
      <c r="F15" s="42">
        <f xml:space="preserve"> 13/18</f>
        <v>0.72222222222222221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zoomScale="84" zoomScaleNormal="55" workbookViewId="0">
      <selection activeCell="K3" sqref="K3"/>
    </sheetView>
  </sheetViews>
  <sheetFormatPr baseColWidth="10" defaultRowHeight="15" x14ac:dyDescent="0.2"/>
  <cols>
    <col min="1" max="4" width="17.83203125" customWidth="1"/>
    <col min="5" max="6" width="32.6640625" customWidth="1"/>
    <col min="7" max="7" width="19.83203125" customWidth="1"/>
  </cols>
  <sheetData>
    <row r="1" spans="1:7" ht="64" x14ac:dyDescent="0.2">
      <c r="A1" s="6" t="s">
        <v>19</v>
      </c>
      <c r="B1" s="6" t="s">
        <v>143</v>
      </c>
      <c r="C1" s="51" t="s">
        <v>144</v>
      </c>
      <c r="D1" s="52" t="s">
        <v>145</v>
      </c>
      <c r="E1" s="6" t="s">
        <v>75</v>
      </c>
      <c r="F1" s="6" t="s">
        <v>76</v>
      </c>
      <c r="G1" s="2" t="s">
        <v>138</v>
      </c>
    </row>
    <row r="2" spans="1:7" ht="32" x14ac:dyDescent="0.2">
      <c r="A2" s="1" t="s">
        <v>16</v>
      </c>
      <c r="B2" s="1">
        <v>4</v>
      </c>
      <c r="C2" s="1">
        <v>11</v>
      </c>
      <c r="D2" s="1">
        <v>2</v>
      </c>
      <c r="E2" s="1" t="s">
        <v>140</v>
      </c>
      <c r="F2" s="1" t="s">
        <v>150</v>
      </c>
      <c r="G2" s="2" t="s">
        <v>139</v>
      </c>
    </row>
    <row r="3" spans="1:7" ht="32" x14ac:dyDescent="0.2">
      <c r="A3" s="1" t="s">
        <v>15</v>
      </c>
      <c r="B3" s="1">
        <v>3</v>
      </c>
      <c r="C3" s="1">
        <v>7</v>
      </c>
      <c r="D3" s="1">
        <v>0</v>
      </c>
      <c r="E3" s="1" t="s">
        <v>77</v>
      </c>
      <c r="F3" s="1" t="s">
        <v>151</v>
      </c>
      <c r="G3" s="2"/>
    </row>
    <row r="4" spans="1:7" ht="32" x14ac:dyDescent="0.2">
      <c r="A4" s="1" t="s">
        <v>14</v>
      </c>
      <c r="B4" s="1">
        <v>7</v>
      </c>
      <c r="C4" s="1">
        <v>0</v>
      </c>
      <c r="D4" s="1">
        <v>4</v>
      </c>
      <c r="E4" s="1" t="s">
        <v>142</v>
      </c>
      <c r="F4" s="1"/>
      <c r="G4" s="2" t="s">
        <v>141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zoomScale="90" zoomScaleNormal="90" workbookViewId="0">
      <selection activeCell="D26" sqref="D26"/>
    </sheetView>
  </sheetViews>
  <sheetFormatPr baseColWidth="10" defaultRowHeight="15" x14ac:dyDescent="0.2"/>
  <cols>
    <col min="1" max="2" width="32.1640625" customWidth="1"/>
    <col min="3" max="3" width="34.83203125" customWidth="1"/>
    <col min="4" max="4" width="47.6640625" customWidth="1"/>
    <col min="5" max="6" width="26.1640625" customWidth="1"/>
  </cols>
  <sheetData>
    <row r="1" spans="1:3" x14ac:dyDescent="0.2">
      <c r="A1" s="38" t="s">
        <v>12</v>
      </c>
      <c r="B1" s="39" t="s">
        <v>7</v>
      </c>
      <c r="C1" s="5" t="s">
        <v>6</v>
      </c>
    </row>
    <row r="2" spans="1:3" ht="32" x14ac:dyDescent="0.2">
      <c r="A2" s="37" t="s">
        <v>51</v>
      </c>
      <c r="B2" s="45">
        <f xml:space="preserve"> 16/18</f>
        <v>0.88888888888888884</v>
      </c>
      <c r="C2" s="1" t="s">
        <v>152</v>
      </c>
    </row>
    <row r="3" spans="1:3" ht="16" x14ac:dyDescent="0.2">
      <c r="A3" s="37" t="s">
        <v>52</v>
      </c>
      <c r="B3" s="45">
        <f>7/18</f>
        <v>0.3888888888888889</v>
      </c>
      <c r="C3" s="1" t="s">
        <v>53</v>
      </c>
    </row>
    <row r="4" spans="1:3" ht="16" x14ac:dyDescent="0.2">
      <c r="A4" s="37" t="s">
        <v>78</v>
      </c>
      <c r="B4" s="45">
        <f>8/18</f>
        <v>0.44444444444444442</v>
      </c>
      <c r="C4" s="1" t="s">
        <v>153</v>
      </c>
    </row>
    <row r="5" spans="1:3" ht="16" x14ac:dyDescent="0.2">
      <c r="A5" s="40" t="s">
        <v>49</v>
      </c>
      <c r="B5" s="46">
        <f>6/18</f>
        <v>0.33333333333333331</v>
      </c>
      <c r="C5" s="1" t="s">
        <v>154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5" x14ac:dyDescent="0.2"/>
  <cols>
    <col min="1" max="4" width="28.6640625" customWidth="1"/>
  </cols>
  <sheetData>
    <row r="1" spans="1:4" ht="16" thickBot="1" x14ac:dyDescent="0.25">
      <c r="A1" s="43" t="s">
        <v>79</v>
      </c>
      <c r="B1" s="43" t="s">
        <v>80</v>
      </c>
      <c r="C1" s="43" t="s">
        <v>81</v>
      </c>
      <c r="D1" s="43" t="s">
        <v>82</v>
      </c>
    </row>
    <row r="2" spans="1:4" ht="31" thickBot="1" x14ac:dyDescent="0.25">
      <c r="A2" s="43" t="s">
        <v>83</v>
      </c>
      <c r="B2" s="44" t="s">
        <v>84</v>
      </c>
      <c r="C2" s="44" t="s">
        <v>85</v>
      </c>
      <c r="D2" s="44" t="s">
        <v>86</v>
      </c>
    </row>
    <row r="3" spans="1:4" ht="31" thickBot="1" x14ac:dyDescent="0.25">
      <c r="A3" s="43" t="s">
        <v>87</v>
      </c>
      <c r="B3" s="44" t="s">
        <v>88</v>
      </c>
      <c r="C3" s="44" t="s">
        <v>89</v>
      </c>
      <c r="D3" s="44" t="s">
        <v>90</v>
      </c>
    </row>
    <row r="4" spans="1:4" ht="31" thickBot="1" x14ac:dyDescent="0.25">
      <c r="A4" s="43" t="s">
        <v>91</v>
      </c>
      <c r="B4" s="44" t="s">
        <v>92</v>
      </c>
      <c r="C4" s="44" t="s">
        <v>93</v>
      </c>
      <c r="D4" s="44" t="s">
        <v>94</v>
      </c>
    </row>
    <row r="5" spans="1:4" ht="31" thickBot="1" x14ac:dyDescent="0.25">
      <c r="A5" s="43" t="s">
        <v>95</v>
      </c>
      <c r="B5" s="44" t="s">
        <v>96</v>
      </c>
      <c r="C5" s="44" t="s">
        <v>97</v>
      </c>
      <c r="D5" s="44" t="s">
        <v>98</v>
      </c>
    </row>
    <row r="6" spans="1:4" ht="16" thickBot="1" x14ac:dyDescent="0.25">
      <c r="A6" s="43" t="s">
        <v>99</v>
      </c>
      <c r="B6" s="44" t="s">
        <v>100</v>
      </c>
      <c r="C6" s="44" t="s">
        <v>101</v>
      </c>
      <c r="D6" s="44" t="s">
        <v>102</v>
      </c>
    </row>
    <row r="7" spans="1:4" ht="16" thickBot="1" x14ac:dyDescent="0.25">
      <c r="A7" s="43" t="s">
        <v>103</v>
      </c>
      <c r="B7" s="44" t="s">
        <v>104</v>
      </c>
      <c r="C7" s="44" t="s">
        <v>105</v>
      </c>
      <c r="D7" s="44" t="s">
        <v>106</v>
      </c>
    </row>
    <row r="8" spans="1:4" ht="16" thickBot="1" x14ac:dyDescent="0.25">
      <c r="A8" s="43" t="s">
        <v>107</v>
      </c>
      <c r="B8" s="44" t="s">
        <v>108</v>
      </c>
      <c r="C8" s="44" t="s">
        <v>109</v>
      </c>
      <c r="D8" s="44" t="s">
        <v>110</v>
      </c>
    </row>
    <row r="9" spans="1:4" ht="16" thickBot="1" x14ac:dyDescent="0.25">
      <c r="A9" s="43" t="s">
        <v>111</v>
      </c>
      <c r="B9" s="44" t="s">
        <v>112</v>
      </c>
      <c r="C9" s="44" t="s">
        <v>113</v>
      </c>
      <c r="D9" s="44" t="s">
        <v>114</v>
      </c>
    </row>
    <row r="10" spans="1:4" ht="31" thickBot="1" x14ac:dyDescent="0.25">
      <c r="A10" s="43" t="s">
        <v>115</v>
      </c>
      <c r="B10" s="44" t="s">
        <v>116</v>
      </c>
      <c r="C10" s="44" t="s">
        <v>117</v>
      </c>
      <c r="D10" s="44" t="s">
        <v>118</v>
      </c>
    </row>
    <row r="11" spans="1:4" ht="16" thickBot="1" x14ac:dyDescent="0.25">
      <c r="A11" s="43" t="s">
        <v>119</v>
      </c>
      <c r="B11" s="44" t="s">
        <v>120</v>
      </c>
      <c r="C11" s="44" t="s">
        <v>121</v>
      </c>
      <c r="D11" s="44" t="s">
        <v>122</v>
      </c>
    </row>
    <row r="12" spans="1:4" ht="16" thickBot="1" x14ac:dyDescent="0.25">
      <c r="A12" s="43" t="s">
        <v>123</v>
      </c>
      <c r="B12" s="44" t="s">
        <v>124</v>
      </c>
      <c r="C12" s="44" t="s">
        <v>125</v>
      </c>
      <c r="D12" s="44" t="s">
        <v>126</v>
      </c>
    </row>
    <row r="13" spans="1:4" ht="31" thickBot="1" x14ac:dyDescent="0.25">
      <c r="A13" s="43" t="s">
        <v>127</v>
      </c>
      <c r="B13" s="44" t="s">
        <v>128</v>
      </c>
      <c r="C13" s="44" t="s">
        <v>129</v>
      </c>
      <c r="D13" s="44" t="s">
        <v>130</v>
      </c>
    </row>
    <row r="14" spans="1:4" ht="31" thickBot="1" x14ac:dyDescent="0.25">
      <c r="A14" s="43" t="s">
        <v>131</v>
      </c>
      <c r="B14" s="44" t="s">
        <v>132</v>
      </c>
      <c r="C14" s="44" t="s">
        <v>133</v>
      </c>
      <c r="D14" s="44" t="s">
        <v>134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5" x14ac:dyDescent="0.2"/>
  <cols>
    <col min="1" max="7" width="25.83203125" customWidth="1"/>
  </cols>
  <sheetData>
    <row r="1" spans="1:7" ht="48" x14ac:dyDescent="0.2">
      <c r="A1" s="9" t="s">
        <v>17</v>
      </c>
      <c r="B1" s="47" t="s">
        <v>20</v>
      </c>
      <c r="C1" s="3" t="s">
        <v>21</v>
      </c>
      <c r="D1" s="47" t="s">
        <v>22</v>
      </c>
      <c r="E1" s="3" t="s">
        <v>72</v>
      </c>
      <c r="F1" s="47" t="s">
        <v>74</v>
      </c>
      <c r="G1" s="9"/>
    </row>
    <row r="2" spans="1:7" ht="30.5" customHeight="1" x14ac:dyDescent="0.2">
      <c r="A2" s="8" t="s">
        <v>16</v>
      </c>
      <c r="C2" s="4"/>
      <c r="D2" s="4"/>
      <c r="E2" s="4"/>
      <c r="F2" s="4"/>
      <c r="G2" s="4"/>
    </row>
    <row r="3" spans="1:7" ht="30.5" customHeight="1" x14ac:dyDescent="0.2">
      <c r="A3" s="8" t="s">
        <v>15</v>
      </c>
      <c r="C3" s="4"/>
      <c r="D3" s="4"/>
      <c r="E3" s="4"/>
      <c r="F3" s="4"/>
      <c r="G3" s="4"/>
    </row>
    <row r="4" spans="1:7" ht="30.5" customHeight="1" x14ac:dyDescent="0.2">
      <c r="A4" s="8" t="s">
        <v>14</v>
      </c>
      <c r="C4" s="4"/>
      <c r="D4" s="4"/>
      <c r="E4" s="4"/>
      <c r="F4" s="4"/>
      <c r="G4" s="4"/>
    </row>
    <row r="5" spans="1:7" ht="30.5" customHeight="1" x14ac:dyDescent="0.2">
      <c r="A5" s="8" t="s">
        <v>13</v>
      </c>
      <c r="C5" s="4"/>
      <c r="D5" s="4"/>
      <c r="E5" s="4"/>
      <c r="F5" s="4"/>
      <c r="G5" s="4"/>
    </row>
    <row r="6" spans="1:7" ht="30.5" customHeight="1" x14ac:dyDescent="0.2">
      <c r="A6" s="29" t="s">
        <v>52</v>
      </c>
      <c r="B6" s="4"/>
      <c r="C6" s="4"/>
      <c r="D6" s="4"/>
      <c r="E6" s="4"/>
      <c r="F6" s="4"/>
      <c r="G6" s="4"/>
    </row>
    <row r="7" spans="1:7" ht="30.5" customHeight="1" x14ac:dyDescent="0.2">
      <c r="A7" s="29" t="s">
        <v>68</v>
      </c>
      <c r="B7" s="7"/>
      <c r="C7" s="7"/>
      <c r="D7" s="7"/>
      <c r="E7" s="7"/>
      <c r="F7" s="7"/>
      <c r="G7" s="7"/>
    </row>
    <row r="8" spans="1:7" x14ac:dyDescent="0.2">
      <c r="A8" s="29" t="s">
        <v>69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A2" sqref="A2:A20"/>
    </sheetView>
  </sheetViews>
  <sheetFormatPr baseColWidth="10" defaultRowHeight="15" x14ac:dyDescent="0.2"/>
  <cols>
    <col min="1" max="1" width="113.5" customWidth="1"/>
  </cols>
  <sheetData>
    <row r="1" spans="1:1" x14ac:dyDescent="0.2">
      <c r="A1" t="s">
        <v>70</v>
      </c>
    </row>
    <row r="2" spans="1:1" ht="14.5" customHeight="1" x14ac:dyDescent="0.2">
      <c r="A2" s="53" t="s">
        <v>71</v>
      </c>
    </row>
    <row r="3" spans="1:1" x14ac:dyDescent="0.2">
      <c r="A3" s="53"/>
    </row>
    <row r="4" spans="1:1" x14ac:dyDescent="0.2">
      <c r="A4" s="53"/>
    </row>
    <row r="5" spans="1:1" x14ac:dyDescent="0.2">
      <c r="A5" s="53"/>
    </row>
    <row r="6" spans="1:1" x14ac:dyDescent="0.2">
      <c r="A6" s="53"/>
    </row>
    <row r="7" spans="1:1" x14ac:dyDescent="0.2">
      <c r="A7" s="53"/>
    </row>
    <row r="8" spans="1:1" x14ac:dyDescent="0.2">
      <c r="A8" s="53"/>
    </row>
    <row r="9" spans="1:1" x14ac:dyDescent="0.2">
      <c r="A9" s="53"/>
    </row>
    <row r="10" spans="1:1" x14ac:dyDescent="0.2">
      <c r="A10" s="53"/>
    </row>
    <row r="11" spans="1:1" x14ac:dyDescent="0.2">
      <c r="A11" s="53"/>
    </row>
    <row r="12" spans="1:1" x14ac:dyDescent="0.2">
      <c r="A12" s="53"/>
    </row>
    <row r="13" spans="1:1" x14ac:dyDescent="0.2">
      <c r="A13" s="53"/>
    </row>
    <row r="14" spans="1:1" x14ac:dyDescent="0.2">
      <c r="A14" s="53"/>
    </row>
    <row r="15" spans="1:1" x14ac:dyDescent="0.2">
      <c r="A15" s="53"/>
    </row>
    <row r="16" spans="1:1" x14ac:dyDescent="0.2">
      <c r="A16" s="53"/>
    </row>
    <row r="17" spans="1:1" x14ac:dyDescent="0.2">
      <c r="A17" s="53"/>
    </row>
    <row r="18" spans="1:1" x14ac:dyDescent="0.2">
      <c r="A18" s="53"/>
    </row>
    <row r="19" spans="1:1" x14ac:dyDescent="0.2">
      <c r="A19" s="53"/>
    </row>
    <row r="20" spans="1:1" x14ac:dyDescent="0.2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5" x14ac:dyDescent="0.2"/>
  <cols>
    <col min="1" max="3" width="37.83203125" customWidth="1"/>
  </cols>
  <sheetData>
    <row r="1" spans="1:3" ht="16" x14ac:dyDescent="0.2">
      <c r="A1" s="15" t="s">
        <v>23</v>
      </c>
      <c r="B1" s="10"/>
    </row>
    <row r="2" spans="1:3" x14ac:dyDescent="0.2">
      <c r="A2" s="5" t="s">
        <v>8</v>
      </c>
      <c r="B2" s="5" t="s">
        <v>7</v>
      </c>
      <c r="C2" s="5" t="s">
        <v>6</v>
      </c>
    </row>
    <row r="3" spans="1:3" ht="16" x14ac:dyDescent="0.2">
      <c r="A3" s="1" t="s">
        <v>5</v>
      </c>
      <c r="B3" s="1" t="s">
        <v>11</v>
      </c>
      <c r="C3" s="1" t="s">
        <v>45</v>
      </c>
    </row>
    <row r="4" spans="1:3" ht="16" x14ac:dyDescent="0.2">
      <c r="A4" s="1" t="s">
        <v>3</v>
      </c>
      <c r="B4" s="1" t="s">
        <v>0</v>
      </c>
      <c r="C4" s="1" t="s">
        <v>39</v>
      </c>
    </row>
    <row r="5" spans="1:3" ht="16" x14ac:dyDescent="0.2">
      <c r="A5" s="1" t="s">
        <v>25</v>
      </c>
      <c r="B5" s="1" t="s">
        <v>28</v>
      </c>
      <c r="C5" s="1" t="s">
        <v>38</v>
      </c>
    </row>
    <row r="6" spans="1:3" ht="16" x14ac:dyDescent="0.2">
      <c r="A6" s="3" t="s">
        <v>9</v>
      </c>
      <c r="B6" s="2" t="s">
        <v>29</v>
      </c>
      <c r="C6" s="14" t="s">
        <v>40</v>
      </c>
    </row>
    <row r="7" spans="1:3" ht="16" x14ac:dyDescent="0.2">
      <c r="A7" s="1" t="s">
        <v>4</v>
      </c>
      <c r="B7" s="1" t="s">
        <v>27</v>
      </c>
      <c r="C7" s="1" t="s">
        <v>42</v>
      </c>
    </row>
    <row r="8" spans="1:3" ht="16" x14ac:dyDescent="0.2">
      <c r="A8" s="1" t="s">
        <v>26</v>
      </c>
      <c r="B8" s="2" t="s">
        <v>29</v>
      </c>
      <c r="C8" s="2" t="s">
        <v>37</v>
      </c>
    </row>
    <row r="10" spans="1:3" ht="16" x14ac:dyDescent="0.2">
      <c r="A10" s="15" t="s">
        <v>24</v>
      </c>
      <c r="B10" s="10"/>
    </row>
    <row r="11" spans="1:3" x14ac:dyDescent="0.2">
      <c r="A11" s="5" t="s">
        <v>8</v>
      </c>
      <c r="B11" s="5" t="s">
        <v>7</v>
      </c>
      <c r="C11" s="5" t="s">
        <v>6</v>
      </c>
    </row>
    <row r="12" spans="1:3" ht="16" x14ac:dyDescent="0.2">
      <c r="A12" s="1" t="s">
        <v>5</v>
      </c>
      <c r="B12" s="1" t="s">
        <v>0</v>
      </c>
      <c r="C12" s="1" t="s">
        <v>41</v>
      </c>
    </row>
    <row r="13" spans="1:3" ht="16" x14ac:dyDescent="0.2">
      <c r="A13" s="1" t="s">
        <v>3</v>
      </c>
      <c r="B13" s="1" t="s">
        <v>1</v>
      </c>
      <c r="C13" s="1" t="s">
        <v>43</v>
      </c>
    </row>
    <row r="14" spans="1:3" ht="32" x14ac:dyDescent="0.2">
      <c r="A14" s="1" t="s">
        <v>25</v>
      </c>
      <c r="B14" s="1" t="s">
        <v>30</v>
      </c>
      <c r="C14" s="1" t="s">
        <v>46</v>
      </c>
    </row>
    <row r="15" spans="1:3" ht="16" x14ac:dyDescent="0.2">
      <c r="A15" s="3" t="s">
        <v>9</v>
      </c>
      <c r="B15" s="2" t="s">
        <v>1</v>
      </c>
      <c r="C15" s="14" t="s">
        <v>44</v>
      </c>
    </row>
    <row r="16" spans="1:3" ht="32" x14ac:dyDescent="0.2">
      <c r="A16" s="1" t="s">
        <v>4</v>
      </c>
      <c r="B16" s="1" t="s">
        <v>31</v>
      </c>
      <c r="C16" s="1" t="s">
        <v>47</v>
      </c>
    </row>
    <row r="17" spans="1:3" ht="16" x14ac:dyDescent="0.2">
      <c r="A17" s="1" t="s">
        <v>26</v>
      </c>
      <c r="B17" s="2" t="s">
        <v>2</v>
      </c>
      <c r="C17" s="16" t="s">
        <v>48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2025-12-05T09:20:12Z</cp:lastPrinted>
  <dcterms:created xsi:type="dcterms:W3CDTF">2015-06-05T18:19:34Z</dcterms:created>
  <dcterms:modified xsi:type="dcterms:W3CDTF">2025-12-19T16:01:48Z</dcterms:modified>
</cp:coreProperties>
</file>