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lsarnold/Documents/WIN-Studium/7. Semester/BA/Thesis/Excel/"/>
    </mc:Choice>
  </mc:AlternateContent>
  <xr:revisionPtr revIDLastSave="0" documentId="13_ncr:1_{FE6140E5-1781-8848-88A2-510FFF6FB359}" xr6:coauthVersionLast="47" xr6:coauthVersionMax="47" xr10:uidLastSave="{00000000-0000-0000-0000-000000000000}"/>
  <bookViews>
    <workbookView xWindow="0" yWindow="0" windowWidth="28800" windowHeight="18000" activeTab="2" xr2:uid="{824E35B1-06FB-A441-A126-FF76D37EF72C}"/>
  </bookViews>
  <sheets>
    <sheet name="Mapping" sheetId="1" r:id="rId1"/>
    <sheet name="Raster" sheetId="2" r:id="rId2"/>
    <sheet name="Ergebni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2" l="1"/>
  <c r="F5" i="2"/>
  <c r="B4" i="3" s="1" a="1"/>
  <c r="B4" i="3" s="1"/>
  <c r="B7" i="3" s="1"/>
  <c r="F6" i="2"/>
  <c r="F7" i="2"/>
  <c r="F8" i="2"/>
  <c r="F9" i="2"/>
  <c r="F10" i="2"/>
  <c r="B10" i="3"/>
  <c r="F2" i="2"/>
  <c r="F3" i="2"/>
  <c r="B13" i="3" l="1"/>
  <c r="B3" i="3" a="1"/>
  <c r="B3" i="3" s="1"/>
  <c r="B6" i="3" l="1"/>
  <c r="B8" i="3" s="1"/>
  <c r="B12" i="3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<sst xmlns="http://schemas.openxmlformats.org/spreadsheetml/2006/main" count="70" uniqueCount="48">
  <si>
    <t>Label</t>
  </si>
  <si>
    <t>Zahl</t>
  </si>
  <si>
    <t>niedrig</t>
  </si>
  <si>
    <t>mittel</t>
  </si>
  <si>
    <t>hoch</t>
  </si>
  <si>
    <t>Zusatzdimension</t>
  </si>
  <si>
    <t>Unterdimension</t>
  </si>
  <si>
    <t>Achse</t>
  </si>
  <si>
    <t>Leitfrage</t>
  </si>
  <si>
    <t>Bewertung</t>
  </si>
  <si>
    <t>Wert</t>
  </si>
  <si>
    <t>Schwelle hoch</t>
  </si>
  <si>
    <t>X-Wert</t>
  </si>
  <si>
    <t>Y-Wert</t>
  </si>
  <si>
    <t>X-Klasse</t>
  </si>
  <si>
    <t>Y-Klasse</t>
  </si>
  <si>
    <t>Quadrant</t>
  </si>
  <si>
    <t>Status</t>
  </si>
  <si>
    <t>Umsetzbarkeit</t>
  </si>
  <si>
    <t>Betriebswirksamkeit &amp; Skalierbarkeit</t>
  </si>
  <si>
    <t>Compliance &amp; Governance</t>
  </si>
  <si>
    <t>Reifegrad</t>
  </si>
  <si>
    <t>Datenverfügbarkeit &amp; Datenqualität</t>
  </si>
  <si>
    <t>Technischer Fit</t>
  </si>
  <si>
    <t>Erforderliche Fachkenntnisse</t>
  </si>
  <si>
    <t>Stabilität und operativer Nutzen</t>
  </si>
  <si>
    <t>Skalierbarkeit &amp; Wiederverwendbarkeit</t>
  </si>
  <si>
    <t>Datenschutz &amp; Datenzugriff</t>
  </si>
  <si>
    <t>Organisatorische Verankerung</t>
  </si>
  <si>
    <t>Technologiereife</t>
  </si>
  <si>
    <t>Betriebsreife</t>
  </si>
  <si>
    <t>X</t>
  </si>
  <si>
    <t>Y</t>
  </si>
  <si>
    <t>X+Y</t>
  </si>
  <si>
    <t xml:space="preserve">Sind ausreichend vollständige und historisch nutzbare Daten für Training und Betrieb vorhanden? </t>
  </si>
  <si>
    <t xml:space="preserve">Lässt sich der Use Case realistisch in bestehende Plattform-, oder CI/CD-Architekturen integrieren? </t>
  </si>
  <si>
    <t>Ist ausreichende Expertise für Entwicklung, Betrieb und Wartung KI-gestützter Funktionen vorhanden?</t>
  </si>
  <si>
    <t>Erzielt die Lösung im laufenden Plattformbetrieb einen stabilen, messbaren Mehrwert?</t>
  </si>
  <si>
    <t>Lässt sich der Ansatz ohne hohen Individualaufwand auf weitere Services oder Teams übertragen?</t>
  </si>
  <si>
    <t>Welche Anforderungen ergeben sich aus Datenschutz, Datenklassifikation und Zugriffskontrolle?</t>
  </si>
  <si>
    <t>Sind Verantwortlichkeiten, Freigaben und Governance-Strukturen klar definiert und akzeptiert?</t>
  </si>
  <si>
    <t>In welchem Stadium befindet sich die Lösung (Konzept, Pilot, Produktivbetrieb)?</t>
  </si>
  <si>
    <t>Ist der dauerhafte Betrieb durch klare Zuständigkeiten, Überwachungsmechanismen und eine ausreichende Betriebsdokumentation abgesichert?</t>
  </si>
  <si>
    <t>X_v</t>
  </si>
  <si>
    <t>Y_v</t>
  </si>
  <si>
    <t>X_h</t>
  </si>
  <si>
    <t>Y_h</t>
  </si>
  <si>
    <t>Use Case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</si>
</sst>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0" applyFont="1" applyAlignment="1">
      <alignment wrapText="1"/>
    </xf>
    <xf numFmtId="0" fontId="0" fillId="2" borderId="0" xfId="0" applyFill="1"/>
  </cellXfs>
  <cellStyles count="1">
    <cellStyle name="Standard" xfId="0" builtinId="0"/>
  </cellStyles>
  <dxfs count="9"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general" vertical="bottom" textRotation="0" wrapText="1" indent="0" justifyLastLine="0" shrinkToFit="0" readingOrder="0"/>
    </dxf>
    <dxf>
      <font>
        <b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009A9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de-DE" sz="160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Bewertungsraster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Use Case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58"/>
            <c:spPr>
              <a:solidFill>
                <a:srgbClr val="009A94"/>
              </a:solidFill>
              <a:ln w="9525" cap="flat">
                <a:solidFill>
                  <a:srgbClr val="009A94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3DB3B5D-64EC-8242-AAEC-CF722118B0E3}" type="CELLRANGE">
                      <a:rPr lang="en-US"/>
                      <a:pPr/>
                      <a:t>[ZELLBEREICH]</a:t>
                    </a:fld>
                    <a:endParaRPr lang="de-DE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54AF-5A4D-A52D-2DD8210D6E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0"/>
              </c:ext>
            </c:extLst>
          </c:dLbls>
          <c:xVal>
            <c:numRef>
              <c:f>Ergebnis!$B$12</c:f>
              <c:numCache>
                <c:formatCode>General</c:formatCode>
                <c:ptCount val="1"/>
                <c:pt idx="0">
                  <c:v>1.8571428571428572</c:v>
                </c:pt>
              </c:numCache>
            </c:numRef>
          </c:xVal>
          <c:yVal>
            <c:numRef>
              <c:f>Ergebnis!$B$13</c:f>
              <c:numCache>
                <c:formatCode>General</c:formatCode>
                <c:ptCount val="1"/>
                <c:pt idx="0">
                  <c:v>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Ergebnis!$A$26</c15:f>
                <c15:dlblRangeCache>
                  <c:ptCount val="1"/>
                  <c:pt idx="0">
                    <c:v>Use Case 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4AF-5A4D-A52D-2DD8210D6EFC}"/>
            </c:ext>
          </c:extLst>
        </c:ser>
        <c:ser>
          <c:idx val="1"/>
          <c:order val="1"/>
          <c:tx>
            <c:v>Trennlinie X</c:v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Ergebnis!$A$17:$A$18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xVal>
          <c:yVal>
            <c:numRef>
              <c:f>Ergebnis!$B$17:$B$18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AF-5A4D-A52D-2DD8210D6EFC}"/>
            </c:ext>
          </c:extLst>
        </c:ser>
        <c:ser>
          <c:idx val="2"/>
          <c:order val="2"/>
          <c:tx>
            <c:v>Trennlinie Y</c:v>
          </c:tx>
          <c:spPr>
            <a:ln w="952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Ergebnis!$D$17:$D$18</c:f>
              <c:numCache>
                <c:formatCode>General</c:formatCode>
                <c:ptCount val="2"/>
                <c:pt idx="0">
                  <c:v>1</c:v>
                </c:pt>
                <c:pt idx="1">
                  <c:v>3</c:v>
                </c:pt>
              </c:numCache>
            </c:numRef>
          </c:xVal>
          <c:yVal>
            <c:numRef>
              <c:f>Ergebnis!$E$17:$E$18</c:f>
              <c:numCache>
                <c:formatCode>General</c:formatCode>
                <c:ptCount val="2"/>
                <c:pt idx="0">
                  <c:v>2</c:v>
                </c:pt>
                <c:pt idx="1">
                  <c:v>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4AF-5A4D-A52D-2DD8210D6E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0819648"/>
        <c:axId val="1481579968"/>
      </c:scatterChart>
      <c:valAx>
        <c:axId val="1490819648"/>
        <c:scaling>
          <c:orientation val="minMax"/>
          <c:max val="3"/>
          <c:min val="1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3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Implementierungsaufwand</a:t>
                </a:r>
              </a:p>
            </c:rich>
          </c:tx>
          <c:layout>
            <c:manualLayout>
              <c:xMode val="edge"/>
              <c:yMode val="edge"/>
              <c:x val="0.33748594012979705"/>
              <c:y val="0.92013987063267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81579968"/>
        <c:crosses val="autoZero"/>
        <c:crossBetween val="midCat"/>
      </c:valAx>
      <c:valAx>
        <c:axId val="1481579968"/>
        <c:scaling>
          <c:orientation val="minMax"/>
          <c:max val="3"/>
          <c:min val="1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de-DE" sz="130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Operativer Mehrwert</a:t>
                </a:r>
              </a:p>
            </c:rich>
          </c:tx>
          <c:layout>
            <c:manualLayout>
              <c:xMode val="edge"/>
              <c:yMode val="edge"/>
              <c:x val="1.1374914697670754E-2"/>
              <c:y val="0.280127115801712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one"/>
        <c:spPr>
          <a:noFill/>
          <a:ln w="1587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9081964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742752</xdr:colOff>
      <xdr:row>0</xdr:row>
      <xdr:rowOff>162316</xdr:rowOff>
    </xdr:from>
    <xdr:to>
      <xdr:col>13</xdr:col>
      <xdr:colOff>507999</xdr:colOff>
      <xdr:row>19</xdr:row>
      <xdr:rowOff>91439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12D5094E-392D-ED5F-44E9-A4D65C6649D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0.16592</cdr:x>
      <cdr:y>0.25484</cdr:y>
    </cdr:from>
    <cdr:to>
      <cdr:x>0.45867</cdr:x>
      <cdr:y>0.41563</cdr:y>
    </cdr:to>
    <cdr:sp macro="" textlink="">
      <cdr:nvSpPr>
        <cdr:cNvPr id="2" name="Textfeld 1">
          <a:extLst xmlns:a="http://schemas.openxmlformats.org/drawingml/2006/main">
            <a:ext uri="{FF2B5EF4-FFF2-40B4-BE49-F238E27FC236}">
              <a16:creationId xmlns:a16="http://schemas.microsoft.com/office/drawing/2014/main" id="{34AA8F33-163E-E8EC-47E1-8CCC21DB05DE}"/>
            </a:ext>
          </a:extLst>
        </cdr:cNvPr>
        <cdr:cNvSpPr txBox="1"/>
      </cdr:nvSpPr>
      <cdr:spPr>
        <a:xfrm xmlns:a="http://schemas.openxmlformats.org/drawingml/2006/main">
          <a:off x="755540" y="687641"/>
          <a:ext cx="1333077" cy="433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Hoher Merhwert,</a:t>
          </a:r>
        </a:p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geringer</a:t>
          </a:r>
          <a:r>
            <a:rPr lang="de-DE" sz="1200" kern="120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Aufwand</a:t>
          </a:r>
          <a:endParaRPr lang="de-DE" sz="1200" kern="1200">
            <a:solidFill>
              <a:schemeClr val="bg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0.58972</cdr:x>
      <cdr:y>0.25484</cdr:y>
    </cdr:from>
    <cdr:to>
      <cdr:x>0.88247</cdr:x>
      <cdr:y>0.41563</cdr:y>
    </cdr:to>
    <cdr:sp macro="" textlink="">
      <cdr:nvSpPr>
        <cdr:cNvPr id="3" name="Textfeld 1">
          <a:extLst xmlns:a="http://schemas.openxmlformats.org/drawingml/2006/main">
            <a:ext uri="{FF2B5EF4-FFF2-40B4-BE49-F238E27FC236}">
              <a16:creationId xmlns:a16="http://schemas.microsoft.com/office/drawing/2014/main" id="{2D708C1F-3C6A-8387-E132-81315BDB973A}"/>
            </a:ext>
          </a:extLst>
        </cdr:cNvPr>
        <cdr:cNvSpPr txBox="1"/>
      </cdr:nvSpPr>
      <cdr:spPr>
        <a:xfrm xmlns:a="http://schemas.openxmlformats.org/drawingml/2006/main">
          <a:off x="2685378" y="687641"/>
          <a:ext cx="1333076" cy="433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Hoher Merhwert,</a:t>
          </a:r>
        </a:p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hoher</a:t>
          </a:r>
          <a:r>
            <a:rPr lang="de-DE" sz="1200" kern="120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Aufwand</a:t>
          </a:r>
          <a:endParaRPr lang="de-DE" sz="1200" kern="1200">
            <a:solidFill>
              <a:schemeClr val="bg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0.16592</cdr:x>
      <cdr:y>0.59203</cdr:y>
    </cdr:from>
    <cdr:to>
      <cdr:x>0.45867</cdr:x>
      <cdr:y>0.75282</cdr:y>
    </cdr:to>
    <cdr:sp macro="" textlink="">
      <cdr:nvSpPr>
        <cdr:cNvPr id="4" name="Textfeld 1">
          <a:extLst xmlns:a="http://schemas.openxmlformats.org/drawingml/2006/main">
            <a:ext uri="{FF2B5EF4-FFF2-40B4-BE49-F238E27FC236}">
              <a16:creationId xmlns:a16="http://schemas.microsoft.com/office/drawing/2014/main" id="{E6A65C8D-0CC9-5837-2DFA-111319A2FF83}"/>
            </a:ext>
          </a:extLst>
        </cdr:cNvPr>
        <cdr:cNvSpPr txBox="1"/>
      </cdr:nvSpPr>
      <cdr:spPr>
        <a:xfrm xmlns:a="http://schemas.openxmlformats.org/drawingml/2006/main">
          <a:off x="755540" y="1597506"/>
          <a:ext cx="1333077" cy="433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Geringer Merhwert,</a:t>
          </a:r>
        </a:p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geringer</a:t>
          </a:r>
          <a:r>
            <a:rPr lang="de-DE" sz="1200" kern="120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Aufwand</a:t>
          </a:r>
          <a:endParaRPr lang="de-DE" sz="1200" kern="1200">
            <a:solidFill>
              <a:schemeClr val="bg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0.58972</cdr:x>
      <cdr:y>0.59203</cdr:y>
    </cdr:from>
    <cdr:to>
      <cdr:x>0.88247</cdr:x>
      <cdr:y>0.75282</cdr:y>
    </cdr:to>
    <cdr:sp macro="" textlink="">
      <cdr:nvSpPr>
        <cdr:cNvPr id="5" name="Textfeld 1">
          <a:extLst xmlns:a="http://schemas.openxmlformats.org/drawingml/2006/main">
            <a:ext uri="{FF2B5EF4-FFF2-40B4-BE49-F238E27FC236}">
              <a16:creationId xmlns:a16="http://schemas.microsoft.com/office/drawing/2014/main" id="{C90772C2-58AD-C737-25BE-BAC41C356725}"/>
            </a:ext>
          </a:extLst>
        </cdr:cNvPr>
        <cdr:cNvSpPr txBox="1"/>
      </cdr:nvSpPr>
      <cdr:spPr>
        <a:xfrm xmlns:a="http://schemas.openxmlformats.org/drawingml/2006/main">
          <a:off x="2685378" y="1597506"/>
          <a:ext cx="1333076" cy="433865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Geringer Merhwert,</a:t>
          </a:r>
        </a:p>
        <a:p xmlns:a="http://schemas.openxmlformats.org/drawingml/2006/main">
          <a:r>
            <a:rPr lang="de-DE" sz="1200" kern="120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hoher</a:t>
          </a:r>
          <a:r>
            <a:rPr lang="de-DE" sz="1200" kern="1200" baseline="0">
              <a:solidFill>
                <a:schemeClr val="bg2">
                  <a:lumMod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Aufwand</a:t>
          </a:r>
          <a:endParaRPr lang="de-DE" sz="1200" kern="1200">
            <a:solidFill>
              <a:schemeClr val="bg2">
                <a:lumMod val="50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7B5390-E1B3-0C4E-8610-7F4AE37F3B5C}" name="tblMap" displayName="tblMap" ref="A1:B4" totalsRowShown="0" headerRowDxfId="8" dataDxfId="7">
  <autoFilter ref="A1:B4" xr:uid="{127B5390-E1B3-0C4E-8610-7F4AE37F3B5C}"/>
  <tableColumns count="2">
    <tableColumn id="1" xr3:uid="{2E415323-F0F4-DF42-8618-DFC330E24A9F}" name="Label" dataDxfId="6"/>
    <tableColumn id="2" xr3:uid="{2AD24CC9-CE9F-3C47-8031-91B2311661C6}" name="Zahl" dataDxfId="5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91CD661-3334-0F41-A7F6-D541C684E11A}" name="tblRaster" displayName="tblRaster" ref="A1:F10" totalsRowShown="0" headerRowDxfId="4">
  <autoFilter ref="A1:F10" xr:uid="{D91CD661-3334-0F41-A7F6-D541C684E11A}"/>
  <tableColumns count="6">
    <tableColumn id="1" xr3:uid="{48EC3C85-0478-E24F-8C6C-9E9150301F82}" name="Zusatzdimension" dataDxfId="3"/>
    <tableColumn id="2" xr3:uid="{2B1F30E9-8D65-194C-8994-DEC140EDE5E1}" name="Unterdimension" dataDxfId="2"/>
    <tableColumn id="3" xr3:uid="{B5FF6543-2649-CE49-AD49-22965AEE247E}" name="Achse" dataDxfId="1"/>
    <tableColumn id="4" xr3:uid="{DDD13B20-7639-A54A-84A9-A92CB62DB822}" name="Leitfrage"/>
    <tableColumn id="5" xr3:uid="{A5671AFB-0AFF-BA43-85A5-F8CAA3830C0A}" name="Bewertung"/>
    <tableColumn id="6" xr3:uid="{9E073365-4767-7540-B07B-6DC0088374EA}" name="Wert" dataDxfId="0">
      <calculatedColumnFormula>_xlfn.XLOOKUP(tblRaster[[#This Row],[Bewertung]],tblMap[Label],tblMap[Zahl])</calculatedColumnFormula>
    </tableColumn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D4C98-BA21-8C4D-9086-8A621766DB27}">
  <dimension ref="A1:B5"/>
  <sheetViews>
    <sheetView zoomScale="110" workbookViewId="0">
      <selection activeCell="C9" sqref="C9"/>
    </sheetView>
  </sheetViews>
  <sheetFormatPr baseColWidth="10" defaultRowHeight="16" x14ac:dyDescent="0.2"/>
  <cols>
    <col min="1" max="2" width="28" customWidth="1"/>
  </cols>
  <sheetData>
    <row r="1" spans="1:2" ht="36" customHeight="1" x14ac:dyDescent="0.2">
      <c r="A1" s="1" t="s">
        <v>0</v>
      </c>
      <c r="B1" s="1" t="s">
        <v>1</v>
      </c>
    </row>
    <row r="2" spans="1:2" ht="36" customHeight="1" x14ac:dyDescent="0.2">
      <c r="A2" s="1" t="s">
        <v>2</v>
      </c>
      <c r="B2" s="1">
        <v>1</v>
      </c>
    </row>
    <row r="3" spans="1:2" ht="36" customHeight="1" x14ac:dyDescent="0.2">
      <c r="A3" s="1" t="s">
        <v>3</v>
      </c>
      <c r="B3" s="1">
        <v>2</v>
      </c>
    </row>
    <row r="4" spans="1:2" ht="36" customHeight="1" x14ac:dyDescent="0.2">
      <c r="A4" s="1" t="s">
        <v>4</v>
      </c>
      <c r="B4" s="1">
        <v>3</v>
      </c>
    </row>
    <row r="5" spans="1:2" ht="36" customHeight="1" x14ac:dyDescent="0.2">
      <c r="A5" s="1"/>
      <c r="B5" s="1"/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6B02-9457-574B-94D6-E93CCBC08A87}">
  <dimension ref="A1:F12"/>
  <sheetViews>
    <sheetView zoomScale="168" workbookViewId="0">
      <selection activeCell="D15" sqref="D15"/>
    </sheetView>
  </sheetViews>
  <sheetFormatPr baseColWidth="10" defaultRowHeight="16" x14ac:dyDescent="0.2"/>
  <cols>
    <col min="1" max="1" width="26.33203125" customWidth="1"/>
    <col min="2" max="2" width="31.5" customWidth="1"/>
    <col min="3" max="3" width="15.83203125" customWidth="1"/>
    <col min="4" max="4" width="59.6640625" customWidth="1"/>
    <col min="5" max="6" width="14.5" customWidth="1"/>
  </cols>
  <sheetData>
    <row r="1" spans="1:6" x14ac:dyDescent="0.2">
      <c r="A1" s="2" t="s">
        <v>5</v>
      </c>
      <c r="B1" s="2" t="s">
        <v>6</v>
      </c>
      <c r="C1" s="2" t="s">
        <v>7</v>
      </c>
      <c r="D1" s="2" t="s">
        <v>8</v>
      </c>
      <c r="E1" s="2" t="s">
        <v>9</v>
      </c>
      <c r="F1" s="2" t="s">
        <v>10</v>
      </c>
    </row>
    <row r="2" spans="1:6" ht="34" x14ac:dyDescent="0.2">
      <c r="A2" s="5" t="s">
        <v>18</v>
      </c>
      <c r="B2" s="3" t="s">
        <v>22</v>
      </c>
      <c r="C2" s="4" t="s">
        <v>31</v>
      </c>
      <c r="D2" s="3" t="s">
        <v>34</v>
      </c>
      <c r="E2" t="s">
        <v>3</v>
      </c>
      <c r="F2">
        <f>_xlfn.XLOOKUP(tblRaster[[#This Row],[Bewertung]],tblMap[Label],tblMap[Zahl])</f>
        <v>2</v>
      </c>
    </row>
    <row r="3" spans="1:6" ht="34" x14ac:dyDescent="0.2">
      <c r="A3" s="5" t="s">
        <v>18</v>
      </c>
      <c r="B3" s="3" t="s">
        <v>23</v>
      </c>
      <c r="C3" s="4" t="s">
        <v>31</v>
      </c>
      <c r="D3" s="3" t="s">
        <v>35</v>
      </c>
      <c r="E3" t="s">
        <v>3</v>
      </c>
      <c r="F3">
        <f>_xlfn.XLOOKUP(tblRaster[[#This Row],[Bewertung]],tblMap[Label],tblMap[Zahl])</f>
        <v>2</v>
      </c>
    </row>
    <row r="4" spans="1:6" ht="34" x14ac:dyDescent="0.2">
      <c r="A4" s="5" t="s">
        <v>18</v>
      </c>
      <c r="B4" s="3" t="s">
        <v>24</v>
      </c>
      <c r="C4" s="4" t="s">
        <v>31</v>
      </c>
      <c r="D4" s="3" t="s">
        <v>36</v>
      </c>
      <c r="E4" t="s">
        <v>3</v>
      </c>
      <c r="F4">
        <f>_xlfn.XLOOKUP(tblRaster[[#This Row],[Bewertung]],tblMap[Label],tblMap[Zahl])</f>
        <v>2</v>
      </c>
    </row>
    <row r="5" spans="1:6" ht="45" customHeight="1" x14ac:dyDescent="0.2">
      <c r="A5" s="5" t="s">
        <v>19</v>
      </c>
      <c r="B5" s="3" t="s">
        <v>25</v>
      </c>
      <c r="C5" s="4" t="s">
        <v>32</v>
      </c>
      <c r="D5" s="3" t="s">
        <v>37</v>
      </c>
      <c r="E5" t="s">
        <v>2</v>
      </c>
      <c r="F5">
        <f>_xlfn.XLOOKUP(tblRaster[[#This Row],[Bewertung]],tblMap[Label],tblMap[Zahl])</f>
        <v>1</v>
      </c>
    </row>
    <row r="6" spans="1:6" ht="34" x14ac:dyDescent="0.2">
      <c r="A6" s="5" t="s">
        <v>19</v>
      </c>
      <c r="B6" s="3" t="s">
        <v>26</v>
      </c>
      <c r="C6" s="4" t="s">
        <v>32</v>
      </c>
      <c r="D6" s="3" t="s">
        <v>38</v>
      </c>
      <c r="E6" t="s">
        <v>4</v>
      </c>
      <c r="F6">
        <f>_xlfn.XLOOKUP(tblRaster[[#This Row],[Bewertung]],tblMap[Label],tblMap[Zahl])</f>
        <v>3</v>
      </c>
    </row>
    <row r="7" spans="1:6" ht="34" x14ac:dyDescent="0.2">
      <c r="A7" s="5" t="s">
        <v>20</v>
      </c>
      <c r="B7" s="3" t="s">
        <v>27</v>
      </c>
      <c r="C7" s="4" t="s">
        <v>31</v>
      </c>
      <c r="D7" s="3" t="s">
        <v>39</v>
      </c>
      <c r="E7" t="s">
        <v>2</v>
      </c>
      <c r="F7">
        <f>_xlfn.XLOOKUP(tblRaster[[#This Row],[Bewertung]],tblMap[Label],tblMap[Zahl])</f>
        <v>1</v>
      </c>
    </row>
    <row r="8" spans="1:6" ht="34" x14ac:dyDescent="0.2">
      <c r="A8" s="5" t="s">
        <v>20</v>
      </c>
      <c r="B8" s="3" t="s">
        <v>28</v>
      </c>
      <c r="C8" s="4" t="s">
        <v>31</v>
      </c>
      <c r="D8" s="3" t="s">
        <v>40</v>
      </c>
      <c r="E8" t="s">
        <v>3</v>
      </c>
      <c r="F8">
        <f>_xlfn.XLOOKUP(tblRaster[[#This Row],[Bewertung]],tblMap[Label],tblMap[Zahl])</f>
        <v>2</v>
      </c>
    </row>
    <row r="9" spans="1:6" ht="34" x14ac:dyDescent="0.2">
      <c r="A9" s="5" t="s">
        <v>21</v>
      </c>
      <c r="B9" s="3" t="s">
        <v>29</v>
      </c>
      <c r="C9" s="4" t="s">
        <v>33</v>
      </c>
      <c r="D9" s="3" t="s">
        <v>41</v>
      </c>
      <c r="E9" t="s">
        <v>2</v>
      </c>
      <c r="F9">
        <f>_xlfn.XLOOKUP(tblRaster[[#This Row],[Bewertung]],tblMap[Label],tblMap[Zahl])</f>
        <v>1</v>
      </c>
    </row>
    <row r="10" spans="1:6" ht="51" x14ac:dyDescent="0.2">
      <c r="A10" s="5" t="s">
        <v>21</v>
      </c>
      <c r="B10" s="3" t="s">
        <v>30</v>
      </c>
      <c r="C10" s="4" t="s">
        <v>33</v>
      </c>
      <c r="D10" s="3" t="s">
        <v>42</v>
      </c>
      <c r="E10" t="s">
        <v>4</v>
      </c>
      <c r="F10">
        <f>_xlfn.XLOOKUP(tblRaster[[#This Row],[Bewertung]],tblMap[Label],tblMap[Zahl])</f>
        <v>3</v>
      </c>
    </row>
    <row r="12" spans="1:6" x14ac:dyDescent="0.2">
      <c r="A12" s="3"/>
    </row>
  </sheetData>
  <dataValidations count="3">
    <dataValidation type="list" showInputMessage="1" showErrorMessage="1" error="Wert eingeben" sqref="E11:E56" xr:uid="{E3A0A120-4697-4F40-87BE-715188A010AF}">
      <mc:AlternateContent xmlns:x12ac="http://schemas.microsoft.com/office/spreadsheetml/2011/1/ac" xmlns:mc="http://schemas.openxmlformats.org/markup-compatibility/2006">
        <mc:Choice Requires="x12ac">
          <x12ac:list>"niedrig,mittel,hoch "</x12ac:list>
        </mc:Choice>
        <mc:Fallback>
          <formula1>"niedrig,mittel,hoch "</formula1>
        </mc:Fallback>
      </mc:AlternateContent>
    </dataValidation>
    <dataValidation type="list" showInputMessage="1" showErrorMessage="1" sqref="C11:C60" xr:uid="{DB19D0F5-B87C-6744-B020-01CE9EEA1C68}">
      <mc:AlternateContent xmlns:x12ac="http://schemas.microsoft.com/office/spreadsheetml/2011/1/ac" xmlns:mc="http://schemas.openxmlformats.org/markup-compatibility/2006">
        <mc:Choice Requires="x12ac">
          <x12ac:list>"X, Y, X+Y"</x12ac:list>
        </mc:Choice>
        <mc:Fallback>
          <formula1>"X, Y, X+Y"</formula1>
        </mc:Fallback>
      </mc:AlternateContent>
    </dataValidation>
    <dataValidation type="list" showInputMessage="1" showErrorMessage="1" sqref="E2" xr:uid="{111A0CE1-4455-2449-BAEB-E15D7EB08DFA}">
      <formula1>"niedrig,mittel,hoch "</formula1>
    </dataValidation>
  </dataValidations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8DB19-1CE3-7244-8251-0376F2D8C384}">
  <dimension ref="A1:E26"/>
  <sheetViews>
    <sheetView tabSelected="1" zoomScale="125" workbookViewId="0">
      <selection activeCell="B8" sqref="B8"/>
    </sheetView>
  </sheetViews>
  <sheetFormatPr baseColWidth="10" defaultRowHeight="16" x14ac:dyDescent="0.2"/>
  <cols>
    <col min="1" max="1" width="16.5" customWidth="1"/>
    <col min="2" max="2" width="22.83203125" customWidth="1"/>
  </cols>
  <sheetData>
    <row r="1" spans="1:5" x14ac:dyDescent="0.2">
      <c r="A1" t="s">
        <v>11</v>
      </c>
      <c r="B1" s="4">
        <v>2.34</v>
      </c>
    </row>
    <row r="2" spans="1:5" x14ac:dyDescent="0.2">
      <c r="B2" s="4"/>
    </row>
    <row r="3" spans="1:5" x14ac:dyDescent="0.2">
      <c r="A3" t="s">
        <v>12</v>
      </c>
      <c r="B3" s="4" cm="1">
        <f t="array" ref="B3">AVERAGE(
  _xlfn._xlws.FILTER(tblRaster[Wert],
    (tblRaster[Achse]="X")+(tblRaster[Achse]="X+Y")
  )
)</f>
        <v>1.8571428571428572</v>
      </c>
    </row>
    <row r="4" spans="1:5" x14ac:dyDescent="0.2">
      <c r="A4" t="s">
        <v>13</v>
      </c>
      <c r="B4" s="4" cm="1">
        <f t="array" ref="B4">AVERAGE(
  _xlfn._xlws.FILTER(tblRaster[Wert],
    (tblRaster[Achse]="Y")+(tblRaster[Achse]="X+Y")
  )
)</f>
        <v>2</v>
      </c>
    </row>
    <row r="5" spans="1:5" x14ac:dyDescent="0.2">
      <c r="B5" s="4"/>
    </row>
    <row r="6" spans="1:5" x14ac:dyDescent="0.2">
      <c r="A6" t="s">
        <v>14</v>
      </c>
      <c r="B6" s="4" t="str">
        <f>IF(B3&gt;=$B$1,"hoch","niedrig")</f>
        <v>niedrig</v>
      </c>
    </row>
    <row r="7" spans="1:5" x14ac:dyDescent="0.2">
      <c r="A7" t="s">
        <v>15</v>
      </c>
      <c r="B7" s="4" t="str">
        <f>IF(B4&gt;=$B$1,"hoch","niedrig")</f>
        <v>niedrig</v>
      </c>
    </row>
    <row r="8" spans="1:5" x14ac:dyDescent="0.2">
      <c r="A8" t="s">
        <v>16</v>
      </c>
      <c r="B8" s="4" t="str">
        <f>B7&amp;"/"&amp;B6</f>
        <v>niedrig/niedrig</v>
      </c>
    </row>
    <row r="9" spans="1:5" x14ac:dyDescent="0.2">
      <c r="B9" s="4"/>
    </row>
    <row r="10" spans="1:5" x14ac:dyDescent="0.2">
      <c r="A10" t="s">
        <v>17</v>
      </c>
      <c r="B10" s="4" t="str">
        <f>IF(COUNTBLANK(tblRaster[Bewertung])=0,"ok","fehlt")</f>
        <v>ok</v>
      </c>
    </row>
    <row r="12" spans="1:5" x14ac:dyDescent="0.2">
      <c r="A12" t="s">
        <v>31</v>
      </c>
      <c r="B12">
        <f>B3</f>
        <v>1.8571428571428572</v>
      </c>
    </row>
    <row r="13" spans="1:5" x14ac:dyDescent="0.2">
      <c r="A13" t="s">
        <v>32</v>
      </c>
      <c r="B13">
        <f>B4</f>
        <v>2</v>
      </c>
    </row>
    <row r="15" spans="1:5" x14ac:dyDescent="0.2">
      <c r="B15" s="3"/>
    </row>
    <row r="16" spans="1:5" x14ac:dyDescent="0.2">
      <c r="A16" t="s">
        <v>43</v>
      </c>
      <c r="B16" t="s">
        <v>44</v>
      </c>
      <c r="D16" t="s">
        <v>45</v>
      </c>
      <c r="E16" t="s">
        <v>46</v>
      </c>
    </row>
    <row r="17" spans="1:5" x14ac:dyDescent="0.2">
      <c r="A17">
        <v>2</v>
      </c>
      <c r="B17">
        <v>1</v>
      </c>
      <c r="D17">
        <v>1</v>
      </c>
      <c r="E17">
        <v>2</v>
      </c>
    </row>
    <row r="18" spans="1:5" x14ac:dyDescent="0.2">
      <c r="A18">
        <v>2</v>
      </c>
      <c r="B18">
        <v>3</v>
      </c>
      <c r="D18">
        <v>3</v>
      </c>
      <c r="E18">
        <v>2</v>
      </c>
    </row>
    <row r="26" spans="1:5" x14ac:dyDescent="0.2">
      <c r="A26" s="6" t="s">
        <v>47</v>
      </c>
    </row>
  </sheetData>
  <pageMargins left="0.7" right="0.7" top="0.78740157499999996" bottom="0.78740157499999996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Mapping</vt:lpstr>
      <vt:lpstr>Raster</vt:lpstr>
      <vt:lpstr>Ergebnis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Nils Arnold</dc:creator>
  <cp:lastModifiedBy>Nils Arnold</cp:lastModifiedBy>
  <dcterms:created xsi:type="dcterms:W3CDTF">2026-01-12T21:36:20Z</dcterms:created>
  <dcterms:modified xsi:type="dcterms:W3CDTF">2026-01-13T09:57:45Z</dcterms:modified>
</cp:coreProperties>
</file>